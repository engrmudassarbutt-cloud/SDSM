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908FD74C-1C03-4C2B-A235-59E2CB97FB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max" sheetId="1" r:id="rId1"/>
    <sheet name="Tmin" sheetId="3" r:id="rId2"/>
    <sheet name="P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9" i="2" l="1"/>
  <c r="D89" i="2"/>
  <c r="E89" i="2"/>
  <c r="B89" i="2"/>
  <c r="C74" i="2"/>
  <c r="D74" i="2"/>
  <c r="E74" i="2"/>
  <c r="B74" i="2"/>
  <c r="N98" i="1" l="1"/>
  <c r="L98" i="1"/>
  <c r="N96" i="1"/>
  <c r="L96" i="1"/>
  <c r="M98" i="1"/>
  <c r="K98" i="1"/>
  <c r="J98" i="1"/>
  <c r="J104" i="1" s="1"/>
  <c r="I98" i="1"/>
  <c r="I104" i="1" s="1"/>
  <c r="H98" i="1"/>
  <c r="N97" i="1"/>
  <c r="M97" i="1"/>
  <c r="L97" i="1"/>
  <c r="K97" i="1"/>
  <c r="J97" i="1"/>
  <c r="I97" i="1"/>
  <c r="H97" i="1"/>
  <c r="M96" i="1"/>
  <c r="K96" i="1"/>
  <c r="K102" i="1" s="1"/>
  <c r="J96" i="1"/>
  <c r="J102" i="1" s="1"/>
  <c r="I96" i="1"/>
  <c r="I102" i="1" s="1"/>
  <c r="H96" i="1"/>
  <c r="N95" i="1"/>
  <c r="N99" i="1" s="1"/>
  <c r="M95" i="1"/>
  <c r="M99" i="1" s="1"/>
  <c r="L95" i="1"/>
  <c r="L99" i="1" s="1"/>
  <c r="K95" i="1"/>
  <c r="J95" i="1"/>
  <c r="I95" i="1"/>
  <c r="H95" i="1"/>
  <c r="I99" i="1" l="1"/>
  <c r="I105" i="1" s="1"/>
  <c r="J99" i="1"/>
  <c r="J105" i="1" s="1"/>
  <c r="L101" i="1"/>
  <c r="H99" i="1"/>
  <c r="L105" i="1" s="1"/>
  <c r="N105" i="1"/>
  <c r="K99" i="1"/>
  <c r="K105" i="1" s="1"/>
  <c r="K104" i="1"/>
  <c r="I103" i="1"/>
  <c r="I101" i="1"/>
  <c r="J101" i="1"/>
  <c r="J103" i="1"/>
  <c r="M101" i="1"/>
  <c r="M103" i="1"/>
  <c r="L102" i="1"/>
  <c r="N103" i="1"/>
  <c r="N102" i="1"/>
  <c r="K101" i="1"/>
  <c r="M102" i="1"/>
  <c r="K103" i="1"/>
  <c r="M104" i="1"/>
  <c r="L104" i="1"/>
  <c r="L103" i="1"/>
  <c r="N104" i="1"/>
  <c r="N101" i="1"/>
  <c r="M105" i="1" l="1"/>
  <c r="N94" i="3"/>
  <c r="M94" i="3"/>
  <c r="L94" i="3"/>
  <c r="K94" i="3"/>
  <c r="J94" i="3"/>
  <c r="I94" i="3"/>
  <c r="H94" i="3"/>
  <c r="N93" i="3"/>
  <c r="M93" i="3"/>
  <c r="L93" i="3"/>
  <c r="K93" i="3"/>
  <c r="J93" i="3"/>
  <c r="I93" i="3"/>
  <c r="H93" i="3"/>
  <c r="N92" i="3"/>
  <c r="M92" i="3"/>
  <c r="L92" i="3"/>
  <c r="K92" i="3"/>
  <c r="J92" i="3"/>
  <c r="I92" i="3"/>
  <c r="H92" i="3"/>
  <c r="N91" i="3"/>
  <c r="M91" i="3"/>
  <c r="M95" i="3" s="1"/>
  <c r="L91" i="3"/>
  <c r="K91" i="3"/>
  <c r="J91" i="3"/>
  <c r="I91" i="3"/>
  <c r="H91" i="3"/>
  <c r="N98" i="3" l="1"/>
  <c r="L95" i="3"/>
  <c r="J95" i="3"/>
  <c r="N95" i="3"/>
  <c r="H95" i="3"/>
  <c r="I97" i="3"/>
  <c r="I95" i="3"/>
  <c r="K97" i="3"/>
  <c r="K95" i="3"/>
  <c r="K101" i="3" s="1"/>
  <c r="I99" i="3"/>
  <c r="J99" i="3"/>
  <c r="M97" i="3"/>
  <c r="M99" i="3"/>
  <c r="L98" i="3"/>
  <c r="J100" i="3"/>
  <c r="N100" i="3"/>
  <c r="L97" i="3"/>
  <c r="I98" i="3"/>
  <c r="N99" i="3"/>
  <c r="K100" i="3"/>
  <c r="J98" i="3"/>
  <c r="L100" i="3"/>
  <c r="J97" i="3"/>
  <c r="N97" i="3"/>
  <c r="K98" i="3"/>
  <c r="K99" i="3"/>
  <c r="L99" i="3"/>
  <c r="I100" i="3"/>
  <c r="M100" i="3"/>
  <c r="M98" i="3"/>
  <c r="I101" i="3" l="1"/>
  <c r="J101" i="3"/>
  <c r="M101" i="3"/>
  <c r="L101" i="3"/>
  <c r="N101" i="3"/>
  <c r="N64" i="2"/>
  <c r="N63" i="2"/>
  <c r="N62" i="2"/>
  <c r="N61" i="2"/>
  <c r="M61" i="2"/>
  <c r="M62" i="2"/>
  <c r="M63" i="2"/>
  <c r="M64" i="2"/>
  <c r="L64" i="2"/>
  <c r="L63" i="2"/>
  <c r="L62" i="2"/>
  <c r="N95" i="2"/>
  <c r="N94" i="2"/>
  <c r="N93" i="2"/>
  <c r="N92" i="2"/>
  <c r="M92" i="2"/>
  <c r="M93" i="2"/>
  <c r="M94" i="2"/>
  <c r="M95" i="2"/>
  <c r="L95" i="2"/>
  <c r="L94" i="2"/>
  <c r="L93" i="2"/>
  <c r="L92" i="2"/>
  <c r="K95" i="2"/>
  <c r="K94" i="2"/>
  <c r="K93" i="2"/>
  <c r="K92" i="2"/>
  <c r="K96" i="2" s="1"/>
  <c r="J95" i="2"/>
  <c r="J94" i="2"/>
  <c r="J93" i="2"/>
  <c r="J92" i="2"/>
  <c r="J96" i="2" s="1"/>
  <c r="I92" i="2"/>
  <c r="I93" i="2"/>
  <c r="I94" i="2"/>
  <c r="I95" i="2"/>
  <c r="H95" i="2"/>
  <c r="H94" i="2"/>
  <c r="H93" i="2"/>
  <c r="H92" i="2"/>
  <c r="H96" i="2" s="1"/>
  <c r="N65" i="2" l="1"/>
  <c r="M96" i="2"/>
  <c r="N96" i="2"/>
  <c r="N102" i="2" s="1"/>
  <c r="L96" i="2"/>
  <c r="L102" i="2" s="1"/>
  <c r="I96" i="2"/>
  <c r="I102" i="2" s="1"/>
  <c r="M102" i="2"/>
  <c r="J102" i="2"/>
  <c r="K102" i="2"/>
  <c r="L61" i="2"/>
  <c r="K64" i="2"/>
  <c r="K63" i="2"/>
  <c r="K62" i="2"/>
  <c r="K61" i="2"/>
  <c r="J64" i="2"/>
  <c r="J63" i="2"/>
  <c r="J62" i="2"/>
  <c r="J61" i="2"/>
  <c r="I61" i="2"/>
  <c r="I62" i="2"/>
  <c r="I63" i="2"/>
  <c r="I64" i="2"/>
  <c r="H64" i="2"/>
  <c r="L70" i="2" s="1"/>
  <c r="H63" i="2"/>
  <c r="L69" i="2" s="1"/>
  <c r="H62" i="2"/>
  <c r="M68" i="2" s="1"/>
  <c r="H61" i="2"/>
  <c r="M67" i="2" s="1"/>
  <c r="L68" i="2" l="1"/>
  <c r="L67" i="2"/>
  <c r="M70" i="2"/>
  <c r="L65" i="2"/>
  <c r="M65" i="2"/>
  <c r="K65" i="2"/>
  <c r="J65" i="2"/>
  <c r="I65" i="2"/>
  <c r="H65" i="2"/>
  <c r="M71" i="2" l="1"/>
  <c r="L71" i="2"/>
  <c r="I71" i="2"/>
  <c r="J71" i="2"/>
  <c r="K71" i="2"/>
  <c r="N71" i="2"/>
  <c r="K32" i="2" l="1"/>
  <c r="K33" i="2"/>
  <c r="K34" i="2"/>
  <c r="K35" i="2"/>
  <c r="L35" i="2"/>
  <c r="L34" i="2"/>
  <c r="L33" i="2"/>
  <c r="M32" i="2"/>
  <c r="M33" i="2"/>
  <c r="M34" i="2"/>
  <c r="M35" i="2"/>
  <c r="N35" i="2"/>
  <c r="N34" i="2"/>
  <c r="N33" i="2"/>
  <c r="N32" i="2"/>
  <c r="L32" i="2"/>
  <c r="J35" i="2"/>
  <c r="J34" i="2"/>
  <c r="J33" i="2"/>
  <c r="J32" i="2"/>
  <c r="I32" i="2"/>
  <c r="I33" i="2"/>
  <c r="I34" i="2"/>
  <c r="I35" i="2"/>
  <c r="H35" i="2"/>
  <c r="H34" i="2"/>
  <c r="H33" i="2"/>
  <c r="H32" i="2"/>
  <c r="I39" i="2" l="1"/>
  <c r="N36" i="2"/>
  <c r="I36" i="2"/>
  <c r="H36" i="2"/>
  <c r="J42" i="2" s="1"/>
  <c r="J36" i="2"/>
  <c r="L36" i="2"/>
  <c r="M36" i="2"/>
  <c r="K36" i="2"/>
  <c r="K42" i="2" s="1"/>
  <c r="I41" i="2"/>
  <c r="I40" i="2"/>
  <c r="N6" i="2"/>
  <c r="N5" i="2"/>
  <c r="N4" i="2"/>
  <c r="N3" i="2"/>
  <c r="M6" i="2"/>
  <c r="M5" i="2"/>
  <c r="M4" i="2"/>
  <c r="M3" i="2"/>
  <c r="L6" i="2"/>
  <c r="L5" i="2"/>
  <c r="L4" i="2"/>
  <c r="L3" i="2"/>
  <c r="K6" i="2"/>
  <c r="K5" i="2"/>
  <c r="K4" i="2"/>
  <c r="K3" i="2"/>
  <c r="J6" i="2"/>
  <c r="J5" i="2"/>
  <c r="J4" i="2"/>
  <c r="J3" i="2"/>
  <c r="I6" i="2"/>
  <c r="I5" i="2"/>
  <c r="I4" i="2"/>
  <c r="H6" i="2"/>
  <c r="H5" i="2"/>
  <c r="H4" i="2"/>
  <c r="I3" i="2"/>
  <c r="H3" i="2"/>
  <c r="C30" i="2"/>
  <c r="L13" i="2" s="1"/>
  <c r="D30" i="2"/>
  <c r="E30" i="2"/>
  <c r="B30" i="2"/>
  <c r="C15" i="2"/>
  <c r="D15" i="2"/>
  <c r="E15" i="2"/>
  <c r="B15" i="2"/>
  <c r="M42" i="2" l="1"/>
  <c r="K13" i="2"/>
  <c r="L42" i="2"/>
  <c r="I42" i="2"/>
  <c r="N42" i="2"/>
  <c r="N13" i="2"/>
  <c r="H7" i="2"/>
  <c r="J7" i="2"/>
  <c r="K7" i="2"/>
  <c r="L7" i="2"/>
  <c r="M7" i="2"/>
  <c r="N7" i="2"/>
  <c r="I7" i="2"/>
  <c r="J13" i="2"/>
  <c r="M13" i="2"/>
  <c r="J67" i="2"/>
  <c r="I67" i="2"/>
  <c r="J68" i="2"/>
  <c r="I68" i="2"/>
  <c r="N68" i="2"/>
  <c r="K68" i="2"/>
  <c r="I70" i="2"/>
  <c r="J69" i="2"/>
  <c r="N69" i="2"/>
  <c r="K70" i="2"/>
  <c r="K69" i="2"/>
  <c r="N67" i="2"/>
  <c r="K67" i="2"/>
  <c r="I69" i="2"/>
  <c r="M69" i="2"/>
  <c r="J70" i="2"/>
  <c r="N70" i="2"/>
  <c r="L98" i="2"/>
  <c r="N64" i="3"/>
  <c r="M64" i="3"/>
  <c r="L64" i="3"/>
  <c r="K64" i="3"/>
  <c r="J64" i="3"/>
  <c r="I64" i="3"/>
  <c r="H64" i="3"/>
  <c r="N63" i="3"/>
  <c r="M63" i="3"/>
  <c r="L63" i="3"/>
  <c r="K63" i="3"/>
  <c r="J63" i="3"/>
  <c r="I63" i="3"/>
  <c r="H63" i="3"/>
  <c r="N62" i="3"/>
  <c r="M62" i="3"/>
  <c r="L62" i="3"/>
  <c r="K62" i="3"/>
  <c r="J62" i="3"/>
  <c r="I62" i="3"/>
  <c r="H62" i="3"/>
  <c r="N61" i="3"/>
  <c r="M61" i="3"/>
  <c r="L61" i="3"/>
  <c r="K61" i="3"/>
  <c r="J61" i="3"/>
  <c r="I61" i="3"/>
  <c r="H61" i="3"/>
  <c r="N66" i="1"/>
  <c r="M66" i="1"/>
  <c r="L66" i="1"/>
  <c r="K66" i="1"/>
  <c r="J66" i="1"/>
  <c r="I66" i="1"/>
  <c r="H66" i="1"/>
  <c r="N65" i="1"/>
  <c r="M65" i="1"/>
  <c r="L65" i="1"/>
  <c r="K65" i="1"/>
  <c r="J65" i="1"/>
  <c r="I65" i="1"/>
  <c r="H65" i="1"/>
  <c r="N64" i="1"/>
  <c r="M64" i="1"/>
  <c r="L64" i="1"/>
  <c r="K64" i="1"/>
  <c r="K70" i="1" s="1"/>
  <c r="J64" i="1"/>
  <c r="I64" i="1"/>
  <c r="H64" i="1"/>
  <c r="N63" i="1"/>
  <c r="M63" i="1"/>
  <c r="M67" i="1" s="1"/>
  <c r="L63" i="1"/>
  <c r="K63" i="1"/>
  <c r="J63" i="1"/>
  <c r="I63" i="1"/>
  <c r="I67" i="1" s="1"/>
  <c r="H63" i="1"/>
  <c r="L38" i="2"/>
  <c r="N35" i="3"/>
  <c r="M35" i="3"/>
  <c r="L35" i="3"/>
  <c r="K35" i="3"/>
  <c r="J35" i="3"/>
  <c r="I35" i="3"/>
  <c r="H35" i="3"/>
  <c r="N34" i="3"/>
  <c r="M34" i="3"/>
  <c r="L34" i="3"/>
  <c r="K34" i="3"/>
  <c r="J34" i="3"/>
  <c r="I34" i="3"/>
  <c r="H34" i="3"/>
  <c r="L40" i="3" s="1"/>
  <c r="N33" i="3"/>
  <c r="M33" i="3"/>
  <c r="L33" i="3"/>
  <c r="K33" i="3"/>
  <c r="J33" i="3"/>
  <c r="I33" i="3"/>
  <c r="H33" i="3"/>
  <c r="N32" i="3"/>
  <c r="M32" i="3"/>
  <c r="L32" i="3"/>
  <c r="K32" i="3"/>
  <c r="J32" i="3"/>
  <c r="I32" i="3"/>
  <c r="H32" i="3"/>
  <c r="K36" i="3" l="1"/>
  <c r="J69" i="1"/>
  <c r="J67" i="1"/>
  <c r="J73" i="1" s="1"/>
  <c r="N67" i="1"/>
  <c r="K71" i="1"/>
  <c r="I72" i="1"/>
  <c r="J65" i="3"/>
  <c r="N65" i="3"/>
  <c r="K67" i="1"/>
  <c r="K40" i="3"/>
  <c r="L69" i="1"/>
  <c r="H67" i="1"/>
  <c r="M73" i="1" s="1"/>
  <c r="L67" i="1"/>
  <c r="L73" i="1" s="1"/>
  <c r="K72" i="1"/>
  <c r="L65" i="3"/>
  <c r="M70" i="1"/>
  <c r="H36" i="3"/>
  <c r="L36" i="3"/>
  <c r="L42" i="3" s="1"/>
  <c r="K65" i="3"/>
  <c r="I38" i="3"/>
  <c r="I36" i="3"/>
  <c r="I42" i="3" s="1"/>
  <c r="M38" i="3"/>
  <c r="M36" i="3"/>
  <c r="M42" i="3" s="1"/>
  <c r="L67" i="3"/>
  <c r="H65" i="3"/>
  <c r="J36" i="3"/>
  <c r="J42" i="3" s="1"/>
  <c r="N36" i="3"/>
  <c r="N42" i="3" s="1"/>
  <c r="I65" i="3"/>
  <c r="M65" i="3"/>
  <c r="M71" i="3" s="1"/>
  <c r="K42" i="3"/>
  <c r="N71" i="3"/>
  <c r="J40" i="3"/>
  <c r="K38" i="3"/>
  <c r="I40" i="3"/>
  <c r="K67" i="3"/>
  <c r="I67" i="3"/>
  <c r="J67" i="3"/>
  <c r="M67" i="3"/>
  <c r="N67" i="3"/>
  <c r="J98" i="2"/>
  <c r="J39" i="2"/>
  <c r="J40" i="2"/>
  <c r="I98" i="2"/>
  <c r="M98" i="2"/>
  <c r="N98" i="2"/>
  <c r="K98" i="2"/>
  <c r="M99" i="2"/>
  <c r="I38" i="2"/>
  <c r="K38" i="2"/>
  <c r="M38" i="2"/>
  <c r="M40" i="2"/>
  <c r="I100" i="2"/>
  <c r="M100" i="2"/>
  <c r="L101" i="2"/>
  <c r="K99" i="2"/>
  <c r="K100" i="2"/>
  <c r="L100" i="2"/>
  <c r="I101" i="2"/>
  <c r="M101" i="2"/>
  <c r="L99" i="2"/>
  <c r="J101" i="2"/>
  <c r="N101" i="2"/>
  <c r="J100" i="2"/>
  <c r="N100" i="2"/>
  <c r="K101" i="2"/>
  <c r="N99" i="2"/>
  <c r="J99" i="2"/>
  <c r="I99" i="2"/>
  <c r="K68" i="3"/>
  <c r="K69" i="3"/>
  <c r="M68" i="3"/>
  <c r="L70" i="3"/>
  <c r="L69" i="3"/>
  <c r="I70" i="3"/>
  <c r="M70" i="3"/>
  <c r="L68" i="3"/>
  <c r="I69" i="3"/>
  <c r="M69" i="3"/>
  <c r="J70" i="3"/>
  <c r="N70" i="3"/>
  <c r="J69" i="3"/>
  <c r="N69" i="3"/>
  <c r="K70" i="3"/>
  <c r="J68" i="3"/>
  <c r="N68" i="3"/>
  <c r="I68" i="3"/>
  <c r="J71" i="1"/>
  <c r="M72" i="1"/>
  <c r="N71" i="1"/>
  <c r="I69" i="1"/>
  <c r="M69" i="1"/>
  <c r="L72" i="1"/>
  <c r="N69" i="1"/>
  <c r="K69" i="1"/>
  <c r="L70" i="1"/>
  <c r="I71" i="1"/>
  <c r="M71" i="1"/>
  <c r="J72" i="1"/>
  <c r="N72" i="1"/>
  <c r="J70" i="1"/>
  <c r="N70" i="1"/>
  <c r="L71" i="1"/>
  <c r="I70" i="1"/>
  <c r="J41" i="2"/>
  <c r="N41" i="2"/>
  <c r="J38" i="2"/>
  <c r="N40" i="2"/>
  <c r="K41" i="2"/>
  <c r="L39" i="2"/>
  <c r="L41" i="2"/>
  <c r="N38" i="2"/>
  <c r="K39" i="2"/>
  <c r="K40" i="2"/>
  <c r="L40" i="2"/>
  <c r="M41" i="2"/>
  <c r="N39" i="2"/>
  <c r="M39" i="2"/>
  <c r="J39" i="3"/>
  <c r="J38" i="3"/>
  <c r="M40" i="3"/>
  <c r="L38" i="3"/>
  <c r="N40" i="3"/>
  <c r="N38" i="3"/>
  <c r="N39" i="3"/>
  <c r="L41" i="3"/>
  <c r="K39" i="3"/>
  <c r="I41" i="3"/>
  <c r="M41" i="3"/>
  <c r="L39" i="3"/>
  <c r="J41" i="3"/>
  <c r="N41" i="3"/>
  <c r="I39" i="3"/>
  <c r="M39" i="3"/>
  <c r="K41" i="3"/>
  <c r="H34" i="1"/>
  <c r="H35" i="1"/>
  <c r="H36" i="1"/>
  <c r="N36" i="1"/>
  <c r="M36" i="1"/>
  <c r="M43" i="1" s="1"/>
  <c r="L36" i="1"/>
  <c r="L43" i="1" s="1"/>
  <c r="K36" i="1"/>
  <c r="K43" i="1" s="1"/>
  <c r="J36" i="1"/>
  <c r="I36" i="1"/>
  <c r="N35" i="1"/>
  <c r="M35" i="1"/>
  <c r="L35" i="1"/>
  <c r="K35" i="1"/>
  <c r="J35" i="1"/>
  <c r="I35" i="1"/>
  <c r="I41" i="1" s="1"/>
  <c r="N34" i="1"/>
  <c r="M34" i="1"/>
  <c r="M40" i="1" s="1"/>
  <c r="L34" i="1"/>
  <c r="K34" i="1"/>
  <c r="J34" i="1"/>
  <c r="I34" i="1"/>
  <c r="I40" i="1" s="1"/>
  <c r="N33" i="1"/>
  <c r="M33" i="1"/>
  <c r="L33" i="1"/>
  <c r="L37" i="1" s="1"/>
  <c r="K33" i="1"/>
  <c r="K37" i="1" s="1"/>
  <c r="J33" i="1"/>
  <c r="I33" i="1"/>
  <c r="H33" i="1"/>
  <c r="H37" i="1" s="1"/>
  <c r="I37" i="1" l="1"/>
  <c r="I43" i="1" s="1"/>
  <c r="M37" i="1"/>
  <c r="K40" i="1"/>
  <c r="J71" i="3"/>
  <c r="I73" i="1"/>
  <c r="J37" i="1"/>
  <c r="J43" i="1" s="1"/>
  <c r="N37" i="1"/>
  <c r="N43" i="1" s="1"/>
  <c r="K73" i="1"/>
  <c r="N73" i="1"/>
  <c r="I39" i="1"/>
  <c r="J39" i="1"/>
  <c r="K39" i="1"/>
  <c r="M41" i="1"/>
  <c r="M39" i="1"/>
  <c r="K71" i="3"/>
  <c r="L71" i="3"/>
  <c r="I71" i="3"/>
  <c r="L39" i="1"/>
  <c r="N39" i="1"/>
  <c r="K42" i="1"/>
  <c r="L40" i="1"/>
  <c r="J41" i="1"/>
  <c r="N41" i="1"/>
  <c r="L42" i="1"/>
  <c r="K41" i="1"/>
  <c r="I42" i="1"/>
  <c r="M42" i="1"/>
  <c r="J40" i="1"/>
  <c r="N40" i="1"/>
  <c r="L41" i="1"/>
  <c r="J42" i="1"/>
  <c r="N42" i="1"/>
  <c r="L9" i="2" l="1"/>
  <c r="N6" i="3"/>
  <c r="M6" i="3"/>
  <c r="L6" i="3"/>
  <c r="K6" i="3"/>
  <c r="J6" i="3"/>
  <c r="I6" i="3"/>
  <c r="H6" i="3"/>
  <c r="N5" i="3"/>
  <c r="M5" i="3"/>
  <c r="L5" i="3"/>
  <c r="K5" i="3"/>
  <c r="J5" i="3"/>
  <c r="I5" i="3"/>
  <c r="H5" i="3"/>
  <c r="N4" i="3"/>
  <c r="M4" i="3"/>
  <c r="L4" i="3"/>
  <c r="K4" i="3"/>
  <c r="J4" i="3"/>
  <c r="I4" i="3"/>
  <c r="H4" i="3"/>
  <c r="N3" i="3"/>
  <c r="M3" i="3"/>
  <c r="L3" i="3"/>
  <c r="K3" i="3"/>
  <c r="J3" i="3"/>
  <c r="I3" i="3"/>
  <c r="I7" i="3" s="1"/>
  <c r="H3" i="3"/>
  <c r="H7" i="3" s="1"/>
  <c r="N7" i="3" l="1"/>
  <c r="J7" i="3"/>
  <c r="J13" i="3" s="1"/>
  <c r="L7" i="3"/>
  <c r="I13" i="3"/>
  <c r="M7" i="3"/>
  <c r="M13" i="3" s="1"/>
  <c r="N13" i="3"/>
  <c r="K7" i="3"/>
  <c r="K13" i="3" s="1"/>
  <c r="L13" i="3"/>
  <c r="L11" i="3"/>
  <c r="J11" i="3"/>
  <c r="J10" i="2"/>
  <c r="K9" i="2"/>
  <c r="J11" i="2"/>
  <c r="I11" i="2"/>
  <c r="J12" i="2"/>
  <c r="I10" i="2"/>
  <c r="N11" i="2"/>
  <c r="K12" i="2"/>
  <c r="K10" i="2"/>
  <c r="K11" i="2"/>
  <c r="I12" i="2"/>
  <c r="M12" i="2"/>
  <c r="N12" i="2"/>
  <c r="I9" i="2"/>
  <c r="M9" i="2"/>
  <c r="L12" i="2"/>
  <c r="J9" i="2"/>
  <c r="N9" i="2"/>
  <c r="L11" i="2"/>
  <c r="L10" i="2"/>
  <c r="M11" i="2"/>
  <c r="M10" i="2"/>
  <c r="N10" i="2"/>
  <c r="L9" i="3"/>
  <c r="N11" i="3"/>
  <c r="J10" i="3"/>
  <c r="I9" i="3"/>
  <c r="M9" i="3"/>
  <c r="K11" i="3"/>
  <c r="J9" i="3"/>
  <c r="K9" i="3"/>
  <c r="I11" i="3"/>
  <c r="M11" i="3"/>
  <c r="N9" i="3"/>
  <c r="N10" i="3"/>
  <c r="L12" i="3"/>
  <c r="K10" i="3"/>
  <c r="I12" i="3"/>
  <c r="M12" i="3"/>
  <c r="L10" i="3"/>
  <c r="J12" i="3"/>
  <c r="N12" i="3"/>
  <c r="I10" i="3"/>
  <c r="M10" i="3"/>
  <c r="K12" i="3"/>
  <c r="N6" i="1"/>
  <c r="M6" i="1"/>
  <c r="L6" i="1"/>
  <c r="M5" i="1"/>
  <c r="N5" i="1"/>
  <c r="L5" i="1"/>
  <c r="M4" i="1"/>
  <c r="N4" i="1"/>
  <c r="L4" i="1"/>
  <c r="N3" i="1"/>
  <c r="M3" i="1"/>
  <c r="L3" i="1"/>
  <c r="L7" i="1" l="1"/>
  <c r="M7" i="1"/>
  <c r="N13" i="1"/>
  <c r="N7" i="1"/>
  <c r="I13" i="2"/>
  <c r="I6" i="1"/>
  <c r="I13" i="1" s="1"/>
  <c r="J6" i="1"/>
  <c r="K6" i="1"/>
  <c r="H6" i="1"/>
  <c r="M12" i="1" s="1"/>
  <c r="I5" i="1"/>
  <c r="J5" i="1"/>
  <c r="K5" i="1"/>
  <c r="H5" i="1"/>
  <c r="L11" i="1" s="1"/>
  <c r="I4" i="1"/>
  <c r="J4" i="1"/>
  <c r="K4" i="1"/>
  <c r="H4" i="1"/>
  <c r="N10" i="1" s="1"/>
  <c r="I3" i="1"/>
  <c r="I7" i="1" s="1"/>
  <c r="J3" i="1"/>
  <c r="J7" i="1" s="1"/>
  <c r="K3" i="1"/>
  <c r="K7" i="1" s="1"/>
  <c r="H3" i="1"/>
  <c r="L13" i="1" l="1"/>
  <c r="M9" i="1"/>
  <c r="H7" i="1"/>
  <c r="K13" i="1"/>
  <c r="M13" i="1"/>
  <c r="J13" i="1"/>
  <c r="J11" i="1"/>
  <c r="J10" i="1"/>
  <c r="J12" i="1"/>
  <c r="K9" i="1"/>
  <c r="K10" i="1"/>
  <c r="K11" i="1"/>
  <c r="K12" i="1"/>
  <c r="I9" i="1"/>
  <c r="I10" i="1"/>
  <c r="I11" i="1"/>
  <c r="I12" i="1"/>
  <c r="J9" i="1"/>
  <c r="L10" i="1"/>
  <c r="L9" i="1"/>
  <c r="N9" i="1"/>
  <c r="N11" i="1"/>
  <c r="M10" i="1"/>
  <c r="L12" i="1"/>
  <c r="M11" i="1"/>
  <c r="N12" i="1"/>
</calcChain>
</file>

<file path=xl/sharedStrings.xml><?xml version="1.0" encoding="utf-8"?>
<sst xmlns="http://schemas.openxmlformats.org/spreadsheetml/2006/main" count="710" uniqueCount="50">
  <si>
    <t>Observed</t>
  </si>
  <si>
    <t>RCP4.5-2020s</t>
  </si>
  <si>
    <t>RCP4.5-2050s</t>
  </si>
  <si>
    <t>RCP4.52080s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</si>
  <si>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</si>
  <si>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</si>
  <si>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</si>
  <si>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</si>
  <si>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</si>
  <si>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</si>
  <si>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</si>
  <si>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</si>
  <si>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</si>
  <si>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</si>
  <si>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</si>
  <si>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</si>
  <si>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Winter</t>
  </si>
  <si>
    <t>Spring</t>
  </si>
  <si>
    <t>Summer</t>
  </si>
  <si>
    <t>Autumn</t>
  </si>
  <si>
    <t>RCP8.5-2020s</t>
  </si>
  <si>
    <t>RCP8.5-2050s</t>
  </si>
  <si>
    <t>RCP8.5-2080s</t>
  </si>
  <si>
    <t>lhr-Tmin-8.5</t>
  </si>
  <si>
    <t>lhr-Tmin-4.5</t>
  </si>
  <si>
    <t>lhr-Tmax-4.5</t>
  </si>
  <si>
    <t>Change</t>
  </si>
  <si>
    <t>total values</t>
  </si>
  <si>
    <t>lhr-Tmax-8.5</t>
  </si>
  <si>
    <t>lhr-Rainfall-4.5</t>
  </si>
  <si>
    <t>lhr-Rainfall-8.5</t>
  </si>
  <si>
    <t>Fsd-Tmax-4.5</t>
  </si>
  <si>
    <t>Fsd-Tmax-8.5</t>
  </si>
  <si>
    <t>Fsd-Tmin-4.5</t>
  </si>
  <si>
    <t>Fsd-Tmin-8.5</t>
  </si>
  <si>
    <t>Fsd-Rainfall-4.5</t>
  </si>
  <si>
    <t>Fsd-Rainfall-8.5</t>
  </si>
  <si>
    <t>overall-Tmax-8.5</t>
  </si>
  <si>
    <t>Overall-Tmin-4.5</t>
  </si>
  <si>
    <t>Overall-Tmin-8.5</t>
  </si>
  <si>
    <t>overall-Rainfall-4.5</t>
  </si>
  <si>
    <t>overall-Rainfall-8.5</t>
  </si>
  <si>
    <t>Sargodha-Rainfall-4.5</t>
  </si>
  <si>
    <t>Sargodha-Rainfall-8.5</t>
  </si>
  <si>
    <t>Annual</t>
  </si>
  <si>
    <t>Sargodha-Tmin-4.5</t>
  </si>
  <si>
    <t>Sargodha-Tmin-8.5</t>
  </si>
  <si>
    <t>Sargodha-Tmax-4.5</t>
  </si>
  <si>
    <t>Overall-Tmax-4.5</t>
  </si>
  <si>
    <t>Sargodha-Tmax-8.5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</si>
</sst>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B10" sqref="B10"/>
    </sheetView>
  </sheetViews>
  <sheetFormatPr defaultRowHeight="14.4" x14ac:dyDescent="0.3"/>
  <cols>
    <col min="3" max="5" width="12.6640625" bestFit="1" customWidth="1"/>
    <col min="6" max="6" width="12.6640625" customWidth="1"/>
    <col min="7" max="7" width="12.5546875" bestFit="1" customWidth="1"/>
    <col min="9" max="10" width="12.5546875" bestFit="1" customWidth="1"/>
    <col min="11" max="11" width="11.88671875" bestFit="1" customWidth="1"/>
    <col min="12" max="14" width="12.5546875" bestFit="1" customWidth="1"/>
  </cols>
  <sheetData>
    <row r="1" spans="1:14" x14ac:dyDescent="0.3">
      <c r="A1" s="14" t="s">
        <v>25</v>
      </c>
      <c r="B1" s="14"/>
      <c r="C1" s="14"/>
      <c r="D1" s="14"/>
      <c r="E1" s="14"/>
      <c r="G1" s="14" t="s">
        <v>27</v>
      </c>
      <c r="H1" s="14"/>
      <c r="I1" s="14"/>
      <c r="J1" s="14"/>
      <c r="K1" s="14"/>
      <c r="L1" s="14"/>
      <c r="M1" s="14"/>
      <c r="N1" s="14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  <c r="L2" s="2" t="s">
        <v>20</v>
      </c>
      <c r="M2" s="2" t="s">
        <v>21</v>
      </c>
      <c r="N2" s="2" t="s">
        <v>22</v>
      </c>
    </row>
    <row r="3" spans="1:14" ht="15.6" x14ac:dyDescent="0.3">
      <c r="A3" s="4" t="s">
        <v>4</v>
      </c>
      <c r="B3" s="2">
        <v>18.142900000000001</v>
      </c>
      <c r="C3" s="5">
        <v>19.485161881720387</v>
      </c>
      <c r="D3" s="5">
        <v>20.435214838709676</v>
      </c>
      <c r="E3" s="5">
        <v>21.367794032258068</v>
      </c>
      <c r="F3" s="5"/>
      <c r="G3" t="s">
        <v>16</v>
      </c>
      <c r="H3" s="2">
        <f>(B14+B3+B4)/3</f>
        <v>20.612100000000002</v>
      </c>
      <c r="I3" s="2">
        <f t="shared" ref="I3:K3" si="0">(C14+C3+C4)/3</f>
        <v>21.562293856808324</v>
      </c>
      <c r="J3" s="2">
        <f t="shared" si="0"/>
        <v>22.0810995141555</v>
      </c>
      <c r="K3" s="2">
        <f t="shared" si="0"/>
        <v>22.600949008078356</v>
      </c>
      <c r="L3" s="2">
        <f>(C29+C18+C19)/3</f>
        <v>21.566824663978494</v>
      </c>
      <c r="M3" s="2">
        <f>(D29+D18+D19)/3</f>
        <v>22.171900319241598</v>
      </c>
      <c r="N3" s="2">
        <f>(E29+E18+E19)/3</f>
        <v>22.81532726733775</v>
      </c>
    </row>
    <row r="4" spans="1:14" ht="15.6" x14ac:dyDescent="0.3">
      <c r="A4" s="4" t="s">
        <v>5</v>
      </c>
      <c r="B4" s="2">
        <v>22.128599999999999</v>
      </c>
      <c r="C4" s="5">
        <v>23.454787323113191</v>
      </c>
      <c r="D4" s="5">
        <v>24.953085318396241</v>
      </c>
      <c r="E4" s="5">
        <v>26.283852771226453</v>
      </c>
      <c r="F4" s="5"/>
      <c r="G4" t="s">
        <v>17</v>
      </c>
      <c r="H4" s="2">
        <f>(B5+B6+B7)/3</f>
        <v>33.768300000000004</v>
      </c>
      <c r="I4" s="2">
        <f t="shared" ref="I4:K4" si="1">(C5+C6+C7)/3</f>
        <v>34.207336179211495</v>
      </c>
      <c r="J4" s="2">
        <f t="shared" si="1"/>
        <v>35.292236716845871</v>
      </c>
      <c r="K4" s="2">
        <f t="shared" si="1"/>
        <v>36.066092905615299</v>
      </c>
      <c r="L4" s="2">
        <f>(C20+C21+C22)/3</f>
        <v>34.130972029868609</v>
      </c>
      <c r="M4" s="2">
        <f t="shared" ref="M4:N4" si="2">(D20+D21+D22)/3</f>
        <v>35.428135216845881</v>
      </c>
      <c r="N4" s="2">
        <f t="shared" si="2"/>
        <v>36.423224275985639</v>
      </c>
    </row>
    <row r="5" spans="1:14" ht="15.6" x14ac:dyDescent="0.3">
      <c r="A5" s="4" t="s">
        <v>6</v>
      </c>
      <c r="B5" s="2">
        <v>27.6829</v>
      </c>
      <c r="C5" s="5">
        <v>28.390165161290351</v>
      </c>
      <c r="D5" s="5">
        <v>30.3593701612903</v>
      </c>
      <c r="E5" s="5">
        <v>31.962210591397838</v>
      </c>
      <c r="F5" s="5"/>
      <c r="G5" t="s">
        <v>18</v>
      </c>
      <c r="H5" s="2">
        <f>(B8+B9+B10)/3</f>
        <v>36.107900000000001</v>
      </c>
      <c r="I5" s="2">
        <f t="shared" ref="I5:K5" si="3">(C8+C9+C10)/3</f>
        <v>36.23520696176822</v>
      </c>
      <c r="J5" s="2">
        <f t="shared" si="3"/>
        <v>35.823782394265208</v>
      </c>
      <c r="K5" s="2">
        <f t="shared" si="3"/>
        <v>35.61404234946238</v>
      </c>
      <c r="L5" s="2">
        <f>(C23+C24+C25)/3</f>
        <v>36.210651764038232</v>
      </c>
      <c r="M5" s="2">
        <f t="shared" ref="M5:N5" si="4">(D23+D24+D25)/3</f>
        <v>35.854716710872161</v>
      </c>
      <c r="N5" s="2">
        <f t="shared" si="4"/>
        <v>35.544072108721601</v>
      </c>
    </row>
    <row r="6" spans="1:14" ht="15.6" x14ac:dyDescent="0.3">
      <c r="A6" s="4" t="s">
        <v>7</v>
      </c>
      <c r="B6" s="2">
        <v>34.832000000000001</v>
      </c>
      <c r="C6" s="5">
        <v>35.220558000000025</v>
      </c>
      <c r="D6" s="5">
        <v>36.674041333333328</v>
      </c>
      <c r="E6" s="5">
        <v>37.997326888888921</v>
      </c>
      <c r="F6" s="5"/>
      <c r="G6" t="s">
        <v>19</v>
      </c>
      <c r="H6" s="2">
        <f>(B11+B12+B13)/3</f>
        <v>31.188133333333329</v>
      </c>
      <c r="I6" s="2">
        <f t="shared" ref="I6:K6" si="5">(C11+C12+C13)/3</f>
        <v>31.250518869175625</v>
      </c>
      <c r="J6" s="2">
        <f t="shared" si="5"/>
        <v>30.441649301075273</v>
      </c>
      <c r="K6" s="2">
        <f t="shared" si="5"/>
        <v>29.750062683393057</v>
      </c>
      <c r="L6" s="2">
        <f>(C26+C27+C28)/3</f>
        <v>31.1653644540024</v>
      </c>
      <c r="M6" s="2">
        <f>(D26+D27+D28)/3</f>
        <v>30.811267557347687</v>
      </c>
      <c r="N6" s="2">
        <f>(E26+E27+E28)/3</f>
        <v>30.660364232974931</v>
      </c>
    </row>
    <row r="7" spans="1:14" ht="15.6" x14ac:dyDescent="0.3">
      <c r="A7" s="4" t="s">
        <v>8</v>
      </c>
      <c r="B7" s="2">
        <v>38.79</v>
      </c>
      <c r="C7" s="5">
        <v>39.011285376344098</v>
      </c>
      <c r="D7" s="5">
        <v>38.843298655913969</v>
      </c>
      <c r="E7" s="5">
        <v>38.238741236559129</v>
      </c>
      <c r="F7" s="5"/>
      <c r="G7" s="12" t="s">
        <v>26</v>
      </c>
      <c r="H7" s="6">
        <f>SUM(H3:H6)/4</f>
        <v>30.419108333333334</v>
      </c>
      <c r="I7" s="6">
        <f t="shared" ref="I7:N7" si="6">SUM(I3:I6)/4</f>
        <v>30.813838966740914</v>
      </c>
      <c r="J7" s="6">
        <f t="shared" si="6"/>
        <v>30.909691981585464</v>
      </c>
      <c r="K7" s="6">
        <f t="shared" si="6"/>
        <v>31.007786736637271</v>
      </c>
      <c r="L7" s="6">
        <f t="shared" si="6"/>
        <v>30.768453227971932</v>
      </c>
      <c r="M7" s="6">
        <f t="shared" si="6"/>
        <v>31.06650495107683</v>
      </c>
      <c r="N7" s="6">
        <f t="shared" si="6"/>
        <v>31.360746971254979</v>
      </c>
    </row>
    <row r="8" spans="1:14" ht="15.6" x14ac:dyDescent="0.3">
      <c r="A8" s="4" t="s">
        <v>9</v>
      </c>
      <c r="B8" s="2">
        <v>38.161700000000003</v>
      </c>
      <c r="C8" s="5">
        <v>37.723472444444447</v>
      </c>
      <c r="D8" s="5">
        <v>36.663104333333287</v>
      </c>
      <c r="E8" s="5">
        <v>36.126881833333357</v>
      </c>
      <c r="F8" s="5"/>
      <c r="H8" t="s">
        <v>0</v>
      </c>
      <c r="I8" t="s">
        <v>1</v>
      </c>
      <c r="J8" t="s">
        <v>2</v>
      </c>
      <c r="K8" t="s">
        <v>3</v>
      </c>
      <c r="L8" s="2" t="s">
        <v>20</v>
      </c>
      <c r="M8" s="2" t="s">
        <v>21</v>
      </c>
      <c r="N8" s="2" t="s">
        <v>22</v>
      </c>
    </row>
    <row r="9" spans="1:14" ht="15.6" x14ac:dyDescent="0.3">
      <c r="A9" s="4" t="s">
        <v>10</v>
      </c>
      <c r="B9" s="2">
        <v>35.413899999999998</v>
      </c>
      <c r="C9" s="5">
        <v>35.581890161290339</v>
      </c>
      <c r="D9" s="5">
        <v>35.533706236559148</v>
      </c>
      <c r="E9" s="5">
        <v>35.604038924731185</v>
      </c>
      <c r="F9" s="5"/>
      <c r="G9" t="s">
        <v>16</v>
      </c>
      <c r="I9" s="6">
        <f>I3-H3</f>
        <v>0.95019385680832258</v>
      </c>
      <c r="J9" s="7">
        <f>J3-H3</f>
        <v>1.4689995141554988</v>
      </c>
      <c r="K9" s="7">
        <f>K3-H3</f>
        <v>1.9888490080783541</v>
      </c>
      <c r="L9" s="7">
        <f>L3-H3</f>
        <v>0.95472466397849232</v>
      </c>
      <c r="M9" s="7">
        <f>M3-H3</f>
        <v>1.5598003192415959</v>
      </c>
      <c r="N9" s="7">
        <f>N3-H3</f>
        <v>2.2032272673377484</v>
      </c>
    </row>
    <row r="10" spans="1:14" ht="15.6" x14ac:dyDescent="0.3">
      <c r="A10" s="4" t="s">
        <v>11</v>
      </c>
      <c r="B10" s="2">
        <v>34.748100000000001</v>
      </c>
      <c r="C10" s="5">
        <v>35.400258279569883</v>
      </c>
      <c r="D10" s="5">
        <v>35.274536612903198</v>
      </c>
      <c r="E10" s="5">
        <v>35.111206290322606</v>
      </c>
      <c r="F10" s="5"/>
      <c r="G10" t="s">
        <v>17</v>
      </c>
      <c r="I10" s="6">
        <f t="shared" ref="I10:I12" si="7">I4-H4</f>
        <v>0.43903617921149163</v>
      </c>
      <c r="J10" s="7">
        <f t="shared" ref="J10:J12" si="8">J4-H4</f>
        <v>1.5239367168458671</v>
      </c>
      <c r="K10" s="7">
        <f t="shared" ref="K10:K12" si="9">K4-H4</f>
        <v>2.2977929056152959</v>
      </c>
      <c r="L10" s="7">
        <f t="shared" ref="L10:L12" si="10">L4-H4</f>
        <v>0.36267202986860525</v>
      </c>
      <c r="M10" s="7">
        <f t="shared" ref="M10:M12" si="11">M4-H4</f>
        <v>1.6598352168458774</v>
      </c>
      <c r="N10" s="7">
        <f t="shared" ref="N10:N12" si="12">N4-H4</f>
        <v>2.6549242759856355</v>
      </c>
    </row>
    <row r="11" spans="1:14" ht="15.6" x14ac:dyDescent="0.3">
      <c r="A11" s="4" t="s">
        <v>12</v>
      </c>
      <c r="B11" s="2">
        <v>34.521999999999998</v>
      </c>
      <c r="C11" s="5">
        <v>34.542541222222241</v>
      </c>
      <c r="D11" s="5">
        <v>34.394150555555569</v>
      </c>
      <c r="E11" s="5">
        <v>34.325946888888822</v>
      </c>
      <c r="F11" s="5"/>
      <c r="G11" t="s">
        <v>18</v>
      </c>
      <c r="I11" s="6">
        <f t="shared" si="7"/>
        <v>0.12730696176821965</v>
      </c>
      <c r="J11" s="7">
        <f t="shared" si="8"/>
        <v>-0.28411760573479228</v>
      </c>
      <c r="K11" s="7">
        <f t="shared" si="9"/>
        <v>-0.49385765053762043</v>
      </c>
      <c r="L11" s="7">
        <f t="shared" si="10"/>
        <v>0.10275176403823139</v>
      </c>
      <c r="M11" s="7">
        <f t="shared" si="11"/>
        <v>-0.25318328912783983</v>
      </c>
      <c r="N11" s="7">
        <f t="shared" si="12"/>
        <v>-0.56382789127840027</v>
      </c>
    </row>
    <row r="12" spans="1:14" ht="15.6" x14ac:dyDescent="0.3">
      <c r="A12" s="4" t="s">
        <v>13</v>
      </c>
      <c r="B12" s="2">
        <v>31.817699999999999</v>
      </c>
      <c r="C12" s="5">
        <v>32.215928440860203</v>
      </c>
      <c r="D12" s="5">
        <v>31.328951236559153</v>
      </c>
      <c r="E12" s="5">
        <v>30.533710161290315</v>
      </c>
      <c r="F12" s="5"/>
      <c r="G12" t="s">
        <v>19</v>
      </c>
      <c r="I12" s="6">
        <f t="shared" si="7"/>
        <v>6.2385535842295781E-2</v>
      </c>
      <c r="J12" s="7">
        <f t="shared" si="8"/>
        <v>-0.74648403225805637</v>
      </c>
      <c r="K12" s="7">
        <f t="shared" si="9"/>
        <v>-1.438070649940272</v>
      </c>
      <c r="L12" s="7">
        <f t="shared" si="10"/>
        <v>-2.2768879330929082E-2</v>
      </c>
      <c r="M12" s="7">
        <f t="shared" si="11"/>
        <v>-0.37686577598564241</v>
      </c>
      <c r="N12" s="7">
        <f t="shared" si="12"/>
        <v>-0.52776910035839819</v>
      </c>
    </row>
    <row r="13" spans="1:14" ht="15.6" x14ac:dyDescent="0.3">
      <c r="A13" s="4" t="s">
        <v>14</v>
      </c>
      <c r="B13" s="2">
        <v>27.224699999999999</v>
      </c>
      <c r="C13" s="5">
        <v>26.993086944444432</v>
      </c>
      <c r="D13" s="5">
        <v>25.601846111111097</v>
      </c>
      <c r="E13" s="5">
        <v>24.390531000000042</v>
      </c>
      <c r="F13" s="5"/>
      <c r="G13" t="s">
        <v>44</v>
      </c>
      <c r="I13" s="2">
        <f>I6-H6</f>
        <v>6.2385535842295781E-2</v>
      </c>
      <c r="J13" s="2">
        <f>J6-H6</f>
        <v>-0.74648403225805637</v>
      </c>
      <c r="K13" s="2">
        <f>K6-H6</f>
        <v>-1.438070649940272</v>
      </c>
      <c r="L13" s="2">
        <f>L6-H6</f>
        <v>-2.2768879330929082E-2</v>
      </c>
      <c r="M13" s="2">
        <f>M6-H6</f>
        <v>-0.37686577598564241</v>
      </c>
      <c r="N13" s="2">
        <f>N6-H6</f>
        <v>-0.52776910035839819</v>
      </c>
    </row>
    <row r="14" spans="1:14" ht="15.6" x14ac:dyDescent="0.3">
      <c r="A14" s="4" t="s">
        <v>15</v>
      </c>
      <c r="B14" s="2">
        <v>21.564800000000002</v>
      </c>
      <c r="C14" s="5">
        <v>21.746932365591391</v>
      </c>
      <c r="D14" s="5">
        <v>20.854998385360588</v>
      </c>
      <c r="E14" s="5">
        <v>20.15120022075055</v>
      </c>
      <c r="F14" s="5"/>
    </row>
    <row r="15" spans="1:14" ht="15.6" x14ac:dyDescent="0.3">
      <c r="A15" s="4"/>
      <c r="B15" s="2"/>
      <c r="C15" s="2"/>
      <c r="D15" s="2"/>
      <c r="E15" s="2"/>
      <c r="F15" s="5"/>
    </row>
    <row r="16" spans="1:14" x14ac:dyDescent="0.3">
      <c r="A16" s="14" t="s">
        <v>28</v>
      </c>
      <c r="B16" s="14"/>
      <c r="C16" s="14"/>
      <c r="D16" s="14"/>
      <c r="E16" s="14"/>
    </row>
    <row r="17" spans="1:14" x14ac:dyDescent="0.3">
      <c r="A17" s="1"/>
      <c r="B17" s="2" t="s">
        <v>0</v>
      </c>
      <c r="C17" s="2" t="s">
        <v>20</v>
      </c>
      <c r="D17" s="2" t="s">
        <v>21</v>
      </c>
      <c r="E17" s="2" t="s">
        <v>22</v>
      </c>
    </row>
    <row r="18" spans="1:14" x14ac:dyDescent="0.3">
      <c r="A18" s="1" t="s">
        <v>4</v>
      </c>
      <c r="B18" s="2">
        <v>18.142900000000001</v>
      </c>
      <c r="C18" s="2">
        <v>19.507375913978489</v>
      </c>
      <c r="D18" s="2">
        <v>20.485929731182775</v>
      </c>
      <c r="E18" s="2">
        <v>21.505929677419338</v>
      </c>
    </row>
    <row r="19" spans="1:14" x14ac:dyDescent="0.3">
      <c r="A19" s="1" t="s">
        <v>5</v>
      </c>
      <c r="B19" s="2">
        <v>22.128599999999999</v>
      </c>
      <c r="C19" s="2">
        <v>23.480681250000032</v>
      </c>
      <c r="D19" s="2">
        <v>25.137531721698082</v>
      </c>
      <c r="E19" s="2">
        <v>26.759330601415087</v>
      </c>
    </row>
    <row r="20" spans="1:14" x14ac:dyDescent="0.3">
      <c r="A20" s="1" t="s">
        <v>6</v>
      </c>
      <c r="B20" s="2">
        <v>27.6829</v>
      </c>
      <c r="C20" s="2">
        <v>28.430522419354862</v>
      </c>
      <c r="D20" s="2">
        <v>30.656608172043043</v>
      </c>
      <c r="E20" s="2">
        <v>32.856743118279489</v>
      </c>
    </row>
    <row r="21" spans="1:14" x14ac:dyDescent="0.3">
      <c r="A21" s="1" t="s">
        <v>7</v>
      </c>
      <c r="B21" s="2">
        <v>34.832000000000001</v>
      </c>
      <c r="C21" s="2">
        <v>35.028847111111126</v>
      </c>
      <c r="D21" s="2">
        <v>36.963516833333351</v>
      </c>
      <c r="E21" s="2">
        <v>38.585331000000004</v>
      </c>
    </row>
    <row r="22" spans="1:14" x14ac:dyDescent="0.3">
      <c r="A22" s="1" t="s">
        <v>8</v>
      </c>
      <c r="B22" s="2">
        <v>38.79</v>
      </c>
      <c r="C22" s="2">
        <v>38.933546559139835</v>
      </c>
      <c r="D22" s="2">
        <v>38.664280645161263</v>
      </c>
      <c r="E22" s="2">
        <v>37.827598709677417</v>
      </c>
    </row>
    <row r="23" spans="1:14" x14ac:dyDescent="0.3">
      <c r="A23" s="1" t="s">
        <v>9</v>
      </c>
      <c r="B23" s="2">
        <v>38.161700000000003</v>
      </c>
      <c r="C23" s="2">
        <v>37.748665722222228</v>
      </c>
      <c r="D23" s="2">
        <v>36.579612444444436</v>
      </c>
      <c r="E23" s="2">
        <v>35.659934444444438</v>
      </c>
    </row>
    <row r="24" spans="1:14" x14ac:dyDescent="0.3">
      <c r="A24" s="1" t="s">
        <v>10</v>
      </c>
      <c r="B24" s="2">
        <v>35.413899999999998</v>
      </c>
      <c r="C24" s="2">
        <v>35.5567985483871</v>
      </c>
      <c r="D24" s="2">
        <v>35.613282258064523</v>
      </c>
      <c r="E24" s="2">
        <v>35.714146236559095</v>
      </c>
    </row>
    <row r="25" spans="1:14" x14ac:dyDescent="0.3">
      <c r="A25" s="1" t="s">
        <v>11</v>
      </c>
      <c r="B25" s="2">
        <v>34.748100000000001</v>
      </c>
      <c r="C25" s="2">
        <v>35.326491021505383</v>
      </c>
      <c r="D25" s="2">
        <v>35.371255430107517</v>
      </c>
      <c r="E25" s="2">
        <v>35.258135645161268</v>
      </c>
    </row>
    <row r="26" spans="1:14" x14ac:dyDescent="0.3">
      <c r="A26" s="1" t="s">
        <v>12</v>
      </c>
      <c r="B26" s="2">
        <v>34.521999999999998</v>
      </c>
      <c r="C26" s="2">
        <v>34.557702333333367</v>
      </c>
      <c r="D26" s="2">
        <v>34.749036500000074</v>
      </c>
      <c r="E26" s="2">
        <v>35.40671911111113</v>
      </c>
    </row>
    <row r="27" spans="1:14" x14ac:dyDescent="0.3">
      <c r="A27" s="1" t="s">
        <v>13</v>
      </c>
      <c r="B27" s="2">
        <v>31.817699999999999</v>
      </c>
      <c r="C27" s="2">
        <v>32.071409139784954</v>
      </c>
      <c r="D27" s="2">
        <v>31.811778172043017</v>
      </c>
      <c r="E27" s="2">
        <v>31.581799032258075</v>
      </c>
    </row>
    <row r="28" spans="1:14" x14ac:dyDescent="0.3">
      <c r="A28" s="1" t="s">
        <v>14</v>
      </c>
      <c r="B28" s="2">
        <v>27.224699999999999</v>
      </c>
      <c r="C28" s="2">
        <v>26.866981888888894</v>
      </c>
      <c r="D28" s="2">
        <v>25.872987999999967</v>
      </c>
      <c r="E28" s="2">
        <v>24.992574555555588</v>
      </c>
    </row>
    <row r="29" spans="1:14" x14ac:dyDescent="0.3">
      <c r="A29" s="3" t="s">
        <v>15</v>
      </c>
      <c r="B29" s="2">
        <v>21.564800000000002</v>
      </c>
      <c r="C29" s="2">
        <v>21.712416827956964</v>
      </c>
      <c r="D29" s="2">
        <v>20.892239504843928</v>
      </c>
      <c r="E29" s="2">
        <v>20.180721523178818</v>
      </c>
    </row>
    <row r="31" spans="1:14" x14ac:dyDescent="0.3">
      <c r="A31" s="14" t="s">
        <v>31</v>
      </c>
      <c r="B31" s="14"/>
      <c r="C31" s="14"/>
      <c r="D31" s="14"/>
      <c r="E31" s="14"/>
      <c r="G31" s="14" t="s">
        <v>27</v>
      </c>
      <c r="H31" s="14"/>
      <c r="I31" s="14"/>
      <c r="J31" s="14"/>
      <c r="K31" s="14"/>
      <c r="L31" s="14"/>
      <c r="M31" s="14"/>
      <c r="N31" s="14"/>
    </row>
    <row r="32" spans="1:14" x14ac:dyDescent="0.3">
      <c r="B32" t="s">
        <v>0</v>
      </c>
      <c r="C32" t="s">
        <v>1</v>
      </c>
      <c r="D32" t="s">
        <v>2</v>
      </c>
      <c r="E32" t="s">
        <v>3</v>
      </c>
      <c r="H32" t="s">
        <v>0</v>
      </c>
      <c r="I32" t="s">
        <v>1</v>
      </c>
      <c r="J32" t="s">
        <v>2</v>
      </c>
      <c r="K32" t="s">
        <v>3</v>
      </c>
      <c r="L32" s="2" t="s">
        <v>20</v>
      </c>
      <c r="M32" s="2" t="s">
        <v>21</v>
      </c>
      <c r="N32" s="2" t="s">
        <v>22</v>
      </c>
    </row>
    <row r="33" spans="1:14" ht="15.6" x14ac:dyDescent="0.3">
      <c r="A33" s="4" t="s">
        <v>4</v>
      </c>
      <c r="B33" s="2">
        <v>19.639600000000002</v>
      </c>
      <c r="C33" s="2">
        <v>19.520105913978508</v>
      </c>
      <c r="D33" s="2">
        <v>20.376269569892479</v>
      </c>
      <c r="E33" s="2">
        <v>21.02855989247308</v>
      </c>
      <c r="F33" s="5"/>
      <c r="G33" t="s">
        <v>16</v>
      </c>
      <c r="H33" s="2">
        <f>(B44+B33+B34)/3</f>
        <v>21.1677</v>
      </c>
      <c r="I33" s="2">
        <f t="shared" ref="I33" si="13">(C44+C33+C34)/3</f>
        <v>20.641016998123366</v>
      </c>
      <c r="J33" s="2">
        <f t="shared" ref="J33" si="14">(D44+D33+D34)/3</f>
        <v>21.383670409238629</v>
      </c>
      <c r="K33" s="2">
        <f t="shared" ref="K33" si="15">(E44+E33+E34)/3</f>
        <v>21.919483533418187</v>
      </c>
      <c r="L33" s="2">
        <f>(C59+C48+C49)/3</f>
        <v>20.736641481241971</v>
      </c>
      <c r="M33" s="2">
        <f>(D59+D48+D49)/3</f>
        <v>21.421556640805857</v>
      </c>
      <c r="N33" s="2">
        <f>(E59+E48+E49)/3</f>
        <v>21.894793515576797</v>
      </c>
    </row>
    <row r="34" spans="1:14" ht="15.6" x14ac:dyDescent="0.3">
      <c r="A34" s="4" t="s">
        <v>5</v>
      </c>
      <c r="B34" s="2">
        <v>22.2087</v>
      </c>
      <c r="C34" s="2">
        <v>22.630991155660404</v>
      </c>
      <c r="D34" s="2">
        <v>24.053310495283036</v>
      </c>
      <c r="E34" s="2">
        <v>25.323603125000005</v>
      </c>
      <c r="F34" s="5"/>
      <c r="G34" t="s">
        <v>17</v>
      </c>
      <c r="H34" s="2">
        <f>(B35+B36+B37)/3</f>
        <v>32.705233333333332</v>
      </c>
      <c r="I34" s="2">
        <f t="shared" ref="I34" si="16">(C35+C36+C37)/3</f>
        <v>33.895936372162495</v>
      </c>
      <c r="J34" s="2">
        <f t="shared" ref="J34" si="17">(D35+D36+D37)/3</f>
        <v>35.6323948237754</v>
      </c>
      <c r="K34" s="2">
        <f t="shared" ref="K34" si="18">(E35+E36+E37)/3</f>
        <v>36.988761675627224</v>
      </c>
      <c r="L34" s="2">
        <f>(C50+C51+C52)/3</f>
        <v>33.794960051971316</v>
      </c>
      <c r="M34" s="2">
        <f t="shared" ref="M34" si="19">(D50+D51+D52)/3</f>
        <v>35.970032556152923</v>
      </c>
      <c r="N34" s="2">
        <f t="shared" ref="N34" si="20">(E50+E51+E52)/3</f>
        <v>37.717762119474308</v>
      </c>
    </row>
    <row r="35" spans="1:14" ht="15.6" x14ac:dyDescent="0.3">
      <c r="A35" s="4" t="s">
        <v>6</v>
      </c>
      <c r="B35" s="2">
        <v>26.349599999999999</v>
      </c>
      <c r="C35" s="2">
        <v>27.279057365591406</v>
      </c>
      <c r="D35" s="2">
        <v>28.839152419354846</v>
      </c>
      <c r="E35" s="2">
        <v>30.212959892473087</v>
      </c>
      <c r="F35" s="5"/>
      <c r="G35" t="s">
        <v>18</v>
      </c>
      <c r="H35" s="2">
        <f>(B38+B39+B40)/3</f>
        <v>38.174633333333333</v>
      </c>
      <c r="I35" s="2">
        <f t="shared" ref="I35" si="21">(C38+C39+C40)/3</f>
        <v>39.029596483870939</v>
      </c>
      <c r="J35" s="2">
        <f t="shared" ref="J35" si="22">(D38+D39+D40)/3</f>
        <v>38.41339989008366</v>
      </c>
      <c r="K35" s="2">
        <f t="shared" ref="K35" si="23">(E38+E39+E40)/3</f>
        <v>37.927795251493414</v>
      </c>
      <c r="L35" s="2">
        <f>(C53+C54+C55)/3</f>
        <v>38.987442706690558</v>
      </c>
      <c r="M35" s="2">
        <f t="shared" ref="M35" si="24">(D53+D54+D55)/3</f>
        <v>38.500644827359629</v>
      </c>
      <c r="N35" s="2">
        <f t="shared" ref="N35" si="25">(E53+E54+E55)/3</f>
        <v>37.97685610394263</v>
      </c>
    </row>
    <row r="36" spans="1:14" ht="15.6" x14ac:dyDescent="0.3">
      <c r="A36" s="4" t="s">
        <v>7</v>
      </c>
      <c r="B36" s="2">
        <v>32.839399999999998</v>
      </c>
      <c r="C36" s="2">
        <v>33.797657611111084</v>
      </c>
      <c r="D36" s="2">
        <v>36.183176944444462</v>
      </c>
      <c r="E36" s="2">
        <v>38.286869166666662</v>
      </c>
      <c r="F36" s="5"/>
      <c r="G36" t="s">
        <v>19</v>
      </c>
      <c r="H36" s="2">
        <f>(B41+B42+B43)/3</f>
        <v>32.021899999999995</v>
      </c>
      <c r="I36" s="2">
        <f t="shared" ref="I36" si="26">(C41+C42+C43)/3</f>
        <v>31.840309895459999</v>
      </c>
      <c r="J36" s="2">
        <f t="shared" ref="J36" si="27">(D41+D42+D43)/3</f>
        <v>30.826287482676218</v>
      </c>
      <c r="K36" s="2">
        <f t="shared" ref="K36" si="28">(E41+E42+E43)/3</f>
        <v>29.715422264038228</v>
      </c>
      <c r="L36" s="2">
        <f>(C56+C57+C58)/3</f>
        <v>31.990220110513743</v>
      </c>
      <c r="M36" s="2">
        <f>(D56+D57+D58)/3</f>
        <v>31.059098424133804</v>
      </c>
      <c r="N36" s="2">
        <f>(E56+E57+E58)/3</f>
        <v>30.317974620071691</v>
      </c>
    </row>
    <row r="37" spans="1:14" ht="15.6" x14ac:dyDescent="0.3">
      <c r="A37" s="4" t="s">
        <v>8</v>
      </c>
      <c r="B37" s="2">
        <v>38.926699999999997</v>
      </c>
      <c r="C37" s="2">
        <v>40.611094139784996</v>
      </c>
      <c r="D37" s="2">
        <v>41.874855107526891</v>
      </c>
      <c r="E37" s="2">
        <v>42.466455967741908</v>
      </c>
      <c r="F37" s="5"/>
      <c r="G37" s="12" t="s">
        <v>26</v>
      </c>
      <c r="H37" s="6">
        <f>SUM(H33:H36)/4</f>
        <v>31.017366666666668</v>
      </c>
      <c r="I37" s="6">
        <f t="shared" ref="I37:N37" si="29">SUM(I33:I36)/4</f>
        <v>31.351714937404196</v>
      </c>
      <c r="J37" s="6">
        <f t="shared" si="29"/>
        <v>31.563938151443477</v>
      </c>
      <c r="K37" s="6">
        <f t="shared" si="29"/>
        <v>31.637865681144262</v>
      </c>
      <c r="L37" s="6">
        <f t="shared" si="29"/>
        <v>31.377316087604399</v>
      </c>
      <c r="M37" s="6">
        <f t="shared" si="29"/>
        <v>31.737833112113055</v>
      </c>
      <c r="N37" s="6">
        <f t="shared" si="29"/>
        <v>31.976846589766357</v>
      </c>
    </row>
    <row r="38" spans="1:14" ht="15.6" x14ac:dyDescent="0.3">
      <c r="A38" s="4" t="s">
        <v>9</v>
      </c>
      <c r="B38" s="2">
        <v>40.9345</v>
      </c>
      <c r="C38" s="2">
        <v>42.102009666666603</v>
      </c>
      <c r="D38" s="2">
        <v>40.706734777777797</v>
      </c>
      <c r="E38" s="2">
        <v>39.545610055555549</v>
      </c>
      <c r="F38" s="5"/>
      <c r="H38" t="s">
        <v>0</v>
      </c>
      <c r="I38" t="s">
        <v>1</v>
      </c>
      <c r="J38" t="s">
        <v>2</v>
      </c>
      <c r="K38" t="s">
        <v>3</v>
      </c>
      <c r="L38" s="2" t="s">
        <v>20</v>
      </c>
      <c r="M38" s="2" t="s">
        <v>21</v>
      </c>
      <c r="N38" s="2" t="s">
        <v>22</v>
      </c>
    </row>
    <row r="39" spans="1:14" ht="15.6" x14ac:dyDescent="0.3">
      <c r="A39" s="4" t="s">
        <v>10</v>
      </c>
      <c r="B39" s="2">
        <v>37.195300000000003</v>
      </c>
      <c r="C39" s="2">
        <v>37.774634677419371</v>
      </c>
      <c r="D39" s="2">
        <v>37.573913870967722</v>
      </c>
      <c r="E39" s="2">
        <v>37.761619784946227</v>
      </c>
      <c r="F39" s="5"/>
      <c r="G39" t="s">
        <v>16</v>
      </c>
      <c r="I39" s="6">
        <f>I33-H33</f>
        <v>-0.52668300187663419</v>
      </c>
      <c r="J39" s="7">
        <f>J33-H33</f>
        <v>0.2159704092386292</v>
      </c>
      <c r="K39" s="7">
        <f>K33-H33</f>
        <v>0.75178353341818749</v>
      </c>
      <c r="L39" s="7">
        <f>L33-H33</f>
        <v>-0.4310585187580287</v>
      </c>
      <c r="M39" s="7">
        <f>M33-H33</f>
        <v>0.25385664080585713</v>
      </c>
      <c r="N39" s="7">
        <f>N33-H33</f>
        <v>0.72709351557679724</v>
      </c>
    </row>
    <row r="40" spans="1:14" ht="15.6" x14ac:dyDescent="0.3">
      <c r="A40" s="4" t="s">
        <v>11</v>
      </c>
      <c r="B40" s="2">
        <v>36.394100000000002</v>
      </c>
      <c r="C40" s="2">
        <v>37.212145107526851</v>
      </c>
      <c r="D40" s="2">
        <v>36.959551021505455</v>
      </c>
      <c r="E40" s="2">
        <v>36.476155913978459</v>
      </c>
      <c r="F40" s="5"/>
      <c r="G40" t="s">
        <v>17</v>
      </c>
      <c r="I40" s="6">
        <f t="shared" ref="I40:I42" si="30">I34-H34</f>
        <v>1.1907030388291631</v>
      </c>
      <c r="J40" s="7">
        <f t="shared" ref="J40:J42" si="31">J34-H34</f>
        <v>2.9271614904420673</v>
      </c>
      <c r="K40" s="7">
        <f t="shared" ref="K40:K42" si="32">K34-H34</f>
        <v>4.2835283422938915</v>
      </c>
      <c r="L40" s="7">
        <f t="shared" ref="L40:L42" si="33">L34-H34</f>
        <v>1.0897267186379835</v>
      </c>
      <c r="M40" s="7">
        <f t="shared" ref="M40:M42" si="34">M34-H34</f>
        <v>3.2647992228195903</v>
      </c>
      <c r="N40" s="7">
        <f t="shared" ref="N40:N42" si="35">N34-H34</f>
        <v>5.012528786140976</v>
      </c>
    </row>
    <row r="41" spans="1:14" ht="15.6" x14ac:dyDescent="0.3">
      <c r="A41" s="4" t="s">
        <v>12</v>
      </c>
      <c r="B41" s="2">
        <v>35.675199999999997</v>
      </c>
      <c r="C41" s="2">
        <v>35.731499500000041</v>
      </c>
      <c r="D41" s="2">
        <v>35.687007888888886</v>
      </c>
      <c r="E41" s="2">
        <v>34.903929944444435</v>
      </c>
      <c r="F41" s="5"/>
      <c r="G41" t="s">
        <v>18</v>
      </c>
      <c r="I41" s="6">
        <f t="shared" si="30"/>
        <v>0.85496315053760696</v>
      </c>
      <c r="J41" s="7">
        <f t="shared" si="31"/>
        <v>0.23876655675032765</v>
      </c>
      <c r="K41" s="7">
        <f t="shared" si="32"/>
        <v>-0.24683808183991829</v>
      </c>
      <c r="L41" s="7">
        <f t="shared" si="33"/>
        <v>0.8128093733572257</v>
      </c>
      <c r="M41" s="7">
        <f t="shared" si="34"/>
        <v>0.32601149402629659</v>
      </c>
      <c r="N41" s="7">
        <f t="shared" si="35"/>
        <v>-0.1977772293907023</v>
      </c>
    </row>
    <row r="42" spans="1:14" ht="15.6" x14ac:dyDescent="0.3">
      <c r="A42" s="4" t="s">
        <v>13</v>
      </c>
      <c r="B42" s="2">
        <v>32.793500000000002</v>
      </c>
      <c r="C42" s="2">
        <v>32.521139408602153</v>
      </c>
      <c r="D42" s="2">
        <v>31.85739155913976</v>
      </c>
      <c r="E42" s="2">
        <v>31.240122903225814</v>
      </c>
      <c r="F42" s="5"/>
      <c r="G42" t="s">
        <v>19</v>
      </c>
      <c r="I42" s="6">
        <f t="shared" si="30"/>
        <v>-0.18159010453999613</v>
      </c>
      <c r="J42" s="7">
        <f t="shared" si="31"/>
        <v>-1.1956125173237773</v>
      </c>
      <c r="K42" s="7">
        <f t="shared" si="32"/>
        <v>-2.3064777359617672</v>
      </c>
      <c r="L42" s="7">
        <f t="shared" si="33"/>
        <v>-3.1679889486252222E-2</v>
      </c>
      <c r="M42" s="7">
        <f t="shared" si="34"/>
        <v>-0.96280157586619097</v>
      </c>
      <c r="N42" s="7">
        <f t="shared" si="35"/>
        <v>-1.7039253799283038</v>
      </c>
    </row>
    <row r="43" spans="1:14" ht="15.6" x14ac:dyDescent="0.3">
      <c r="A43" s="4" t="s">
        <v>14</v>
      </c>
      <c r="B43" s="2">
        <v>27.597000000000001</v>
      </c>
      <c r="C43" s="2">
        <v>27.268290777777807</v>
      </c>
      <c r="D43" s="2">
        <v>24.934463000000004</v>
      </c>
      <c r="E43" s="2">
        <v>23.002213944444428</v>
      </c>
      <c r="F43" s="5"/>
      <c r="G43" t="s">
        <v>44</v>
      </c>
      <c r="I43" s="2">
        <f>I37-H37</f>
        <v>0.33434827073752871</v>
      </c>
      <c r="J43" s="2">
        <f>J37-H37</f>
        <v>0.54657148477680906</v>
      </c>
      <c r="K43" s="2">
        <f>K36-H36</f>
        <v>-2.3064777359617672</v>
      </c>
      <c r="L43" s="2">
        <f>L36-H36</f>
        <v>-3.1679889486252222E-2</v>
      </c>
      <c r="M43" s="2">
        <f>M36-H36</f>
        <v>-0.96280157586619097</v>
      </c>
      <c r="N43" s="2">
        <f>N37-H37</f>
        <v>0.9594799230996891</v>
      </c>
    </row>
    <row r="44" spans="1:14" ht="15.6" x14ac:dyDescent="0.3">
      <c r="A44" s="4" t="s">
        <v>15</v>
      </c>
      <c r="B44" s="2">
        <v>21.654800000000002</v>
      </c>
      <c r="C44" s="2">
        <v>19.771953924731179</v>
      </c>
      <c r="D44" s="2">
        <v>19.721431162540359</v>
      </c>
      <c r="E44" s="2">
        <v>19.406287582781481</v>
      </c>
      <c r="F44" s="5"/>
    </row>
    <row r="45" spans="1:14" ht="15.6" x14ac:dyDescent="0.3">
      <c r="A45" s="4"/>
      <c r="B45" s="2"/>
      <c r="C45" s="2"/>
      <c r="D45" s="2"/>
      <c r="E45" s="2"/>
      <c r="F45" s="5"/>
    </row>
    <row r="46" spans="1:14" x14ac:dyDescent="0.3">
      <c r="A46" s="14" t="s">
        <v>32</v>
      </c>
      <c r="B46" s="14"/>
      <c r="C46" s="14"/>
      <c r="D46" s="14"/>
      <c r="E46" s="14"/>
    </row>
    <row r="47" spans="1:14" x14ac:dyDescent="0.3">
      <c r="A47" s="1"/>
      <c r="B47" s="2" t="s">
        <v>0</v>
      </c>
      <c r="C47" s="2" t="s">
        <v>20</v>
      </c>
      <c r="D47" s="2" t="s">
        <v>21</v>
      </c>
      <c r="E47" s="2" t="s">
        <v>22</v>
      </c>
    </row>
    <row r="48" spans="1:14" ht="15.6" x14ac:dyDescent="0.3">
      <c r="A48" s="1" t="s">
        <v>4</v>
      </c>
      <c r="B48" s="5">
        <v>19.639600000000002</v>
      </c>
      <c r="C48" s="5">
        <v>19.559506666666671</v>
      </c>
      <c r="D48" s="5">
        <v>20.375039892473115</v>
      </c>
      <c r="E48" s="5">
        <v>20.863697096774168</v>
      </c>
    </row>
    <row r="49" spans="1:14" ht="15.6" x14ac:dyDescent="0.3">
      <c r="A49" s="1" t="s">
        <v>5</v>
      </c>
      <c r="B49" s="5">
        <v>22.2087</v>
      </c>
      <c r="C49" s="5">
        <v>22.768318691037717</v>
      </c>
      <c r="D49" s="5">
        <v>24.161930837264141</v>
      </c>
      <c r="E49" s="5">
        <v>25.391806132075455</v>
      </c>
    </row>
    <row r="50" spans="1:14" ht="15.6" x14ac:dyDescent="0.3">
      <c r="A50" s="1" t="s">
        <v>6</v>
      </c>
      <c r="B50" s="5">
        <v>26.349599999999999</v>
      </c>
      <c r="C50" s="5">
        <v>27.310122903225814</v>
      </c>
      <c r="D50" s="5">
        <v>29.103822204301093</v>
      </c>
      <c r="E50" s="5">
        <v>31.031732419354803</v>
      </c>
    </row>
    <row r="51" spans="1:14" ht="15.6" x14ac:dyDescent="0.3">
      <c r="A51" s="1" t="s">
        <v>7</v>
      </c>
      <c r="B51" s="5">
        <v>32.839399999999998</v>
      </c>
      <c r="C51" s="5">
        <v>33.403113166666607</v>
      </c>
      <c r="D51" s="5">
        <v>36.53363272222218</v>
      </c>
      <c r="E51" s="5">
        <v>39.378688777777811</v>
      </c>
    </row>
    <row r="52" spans="1:14" ht="15.6" x14ac:dyDescent="0.3">
      <c r="A52" s="1" t="s">
        <v>8</v>
      </c>
      <c r="B52" s="5">
        <v>38.926699999999997</v>
      </c>
      <c r="C52" s="5">
        <v>40.671644086021537</v>
      </c>
      <c r="D52" s="5">
        <v>42.272642741935492</v>
      </c>
      <c r="E52" s="5">
        <v>42.742865161290297</v>
      </c>
    </row>
    <row r="53" spans="1:14" ht="15.6" x14ac:dyDescent="0.3">
      <c r="A53" s="1" t="s">
        <v>9</v>
      </c>
      <c r="B53" s="5">
        <v>40.9345</v>
      </c>
      <c r="C53" s="5">
        <v>42.16971505555555</v>
      </c>
      <c r="D53" s="5">
        <v>40.734490611111163</v>
      </c>
      <c r="E53" s="5">
        <v>39.612409333333304</v>
      </c>
    </row>
    <row r="54" spans="1:14" ht="15.6" x14ac:dyDescent="0.3">
      <c r="A54" s="1" t="s">
        <v>10</v>
      </c>
      <c r="B54" s="5">
        <v>37.195300000000003</v>
      </c>
      <c r="C54" s="5">
        <v>37.652353763440892</v>
      </c>
      <c r="D54" s="5">
        <v>37.7683239784946</v>
      </c>
      <c r="E54" s="5">
        <v>37.878701612903249</v>
      </c>
    </row>
    <row r="55" spans="1:14" ht="15.6" x14ac:dyDescent="0.3">
      <c r="A55" s="1" t="s">
        <v>11</v>
      </c>
      <c r="B55" s="5">
        <v>36.394100000000002</v>
      </c>
      <c r="C55" s="5">
        <v>37.140259301075233</v>
      </c>
      <c r="D55" s="5">
        <v>36.999119892473125</v>
      </c>
      <c r="E55" s="5">
        <v>36.439457365591352</v>
      </c>
    </row>
    <row r="56" spans="1:14" ht="15.6" x14ac:dyDescent="0.3">
      <c r="A56" s="1" t="s">
        <v>12</v>
      </c>
      <c r="B56" s="5">
        <v>35.675199999999997</v>
      </c>
      <c r="C56" s="5">
        <v>35.74427166666667</v>
      </c>
      <c r="D56" s="5">
        <v>35.544221777777729</v>
      </c>
      <c r="E56" s="5">
        <v>35.767905000000013</v>
      </c>
    </row>
    <row r="57" spans="1:14" ht="15.6" x14ac:dyDescent="0.3">
      <c r="A57" s="1" t="s">
        <v>13</v>
      </c>
      <c r="B57" s="5">
        <v>32.793500000000002</v>
      </c>
      <c r="C57" s="5">
        <v>32.765820053763449</v>
      </c>
      <c r="D57" s="5">
        <v>32.35184849462366</v>
      </c>
      <c r="E57" s="5">
        <v>32.239677526881707</v>
      </c>
    </row>
    <row r="58" spans="1:14" ht="15.6" x14ac:dyDescent="0.3">
      <c r="A58" s="1" t="s">
        <v>14</v>
      </c>
      <c r="B58" s="5">
        <v>27.597000000000001</v>
      </c>
      <c r="C58" s="5">
        <v>27.460568611111096</v>
      </c>
      <c r="D58" s="5">
        <v>25.281225000000013</v>
      </c>
      <c r="E58" s="5">
        <v>22.946341333333343</v>
      </c>
    </row>
    <row r="59" spans="1:14" ht="15.6" x14ac:dyDescent="0.3">
      <c r="A59" s="3" t="s">
        <v>15</v>
      </c>
      <c r="B59" s="5">
        <v>21.654800000000002</v>
      </c>
      <c r="C59" s="5">
        <v>19.882099086021523</v>
      </c>
      <c r="D59" s="5">
        <v>19.727699192680312</v>
      </c>
      <c r="E59" s="5">
        <v>19.428877317880776</v>
      </c>
    </row>
    <row r="61" spans="1:14" x14ac:dyDescent="0.3">
      <c r="A61" s="14" t="s">
        <v>47</v>
      </c>
      <c r="B61" s="14"/>
      <c r="C61" s="14"/>
      <c r="D61" s="14"/>
      <c r="E61" s="14"/>
      <c r="G61" s="14" t="s">
        <v>27</v>
      </c>
      <c r="H61" s="14"/>
      <c r="I61" s="14"/>
      <c r="J61" s="14"/>
      <c r="K61" s="14"/>
      <c r="L61" s="14"/>
      <c r="M61" s="14"/>
      <c r="N61" s="14"/>
    </row>
    <row r="62" spans="1:14" x14ac:dyDescent="0.3">
      <c r="B62" t="s">
        <v>0</v>
      </c>
      <c r="C62" t="s">
        <v>1</v>
      </c>
      <c r="D62" t="s">
        <v>2</v>
      </c>
      <c r="E62" t="s">
        <v>3</v>
      </c>
      <c r="H62" t="s">
        <v>0</v>
      </c>
      <c r="I62" t="s">
        <v>1</v>
      </c>
      <c r="J62" t="s">
        <v>2</v>
      </c>
      <c r="K62" t="s">
        <v>3</v>
      </c>
      <c r="L62" s="2" t="s">
        <v>20</v>
      </c>
      <c r="M62" s="2" t="s">
        <v>21</v>
      </c>
      <c r="N62" s="2" t="s">
        <v>22</v>
      </c>
    </row>
    <row r="63" spans="1:14" ht="15.6" x14ac:dyDescent="0.3">
      <c r="A63" s="4" t="s">
        <v>4</v>
      </c>
      <c r="B63" s="2">
        <v>19.286021505376333</v>
      </c>
      <c r="C63" s="2">
        <v>19.103144086021501</v>
      </c>
      <c r="D63" s="2">
        <v>20.511754139784962</v>
      </c>
      <c r="E63" s="2">
        <v>21.525326505376359</v>
      </c>
      <c r="F63" s="5"/>
      <c r="G63" t="s">
        <v>16</v>
      </c>
      <c r="H63" s="2">
        <f>(B74+B63+B64)/3</f>
        <v>21.221753201109461</v>
      </c>
      <c r="I63" s="2">
        <f t="shared" ref="I63" si="36">(C74+C63+C64)/3</f>
        <v>21.319563973507126</v>
      </c>
      <c r="J63" s="2">
        <f t="shared" ref="J63" si="37">(D74+D63+D64)/3</f>
        <v>22.015913799577167</v>
      </c>
      <c r="K63" s="2">
        <f t="shared" ref="K63" si="38">(E74+E63+E64)/3</f>
        <v>22.461159809456262</v>
      </c>
      <c r="L63" s="2">
        <f>(C88+C77+C78)/3</f>
        <v>21.566824663978494</v>
      </c>
      <c r="M63" s="2">
        <f>(D88+D77+D78)/3</f>
        <v>22.171900319241598</v>
      </c>
      <c r="N63" s="2">
        <f>(E88+E77+E78)/3</f>
        <v>22.81532726733775</v>
      </c>
    </row>
    <row r="64" spans="1:14" ht="15.6" x14ac:dyDescent="0.3">
      <c r="A64" s="4" t="s">
        <v>5</v>
      </c>
      <c r="B64" s="2">
        <v>22.935851001177852</v>
      </c>
      <c r="C64" s="2">
        <v>23.113740683962238</v>
      </c>
      <c r="D64" s="2">
        <v>24.498756957547172</v>
      </c>
      <c r="E64" s="2">
        <v>25.428321521226405</v>
      </c>
      <c r="F64" s="5"/>
      <c r="G64" t="s">
        <v>17</v>
      </c>
      <c r="H64" s="2">
        <f>(B65+B66+B67)/3</f>
        <v>34.219127240143365</v>
      </c>
      <c r="I64" s="2">
        <f t="shared" ref="I64" si="39">(C65+C66+C67)/3</f>
        <v>34.815986330943872</v>
      </c>
      <c r="J64" s="2">
        <f t="shared" ref="J64" si="40">(D65+D66+D67)/3</f>
        <v>36.20280783691755</v>
      </c>
      <c r="K64" s="2">
        <f t="shared" ref="K64" si="41">(E65+E66+E67)/3</f>
        <v>37.433022150537624</v>
      </c>
      <c r="L64" s="2">
        <f>(C79+C80+C81)/3</f>
        <v>34.130972029868609</v>
      </c>
      <c r="M64" s="2">
        <f t="shared" ref="M64" si="42">(D79+D80+D81)/3</f>
        <v>35.428135216845881</v>
      </c>
      <c r="N64" s="2">
        <f t="shared" ref="N64" si="43">(E79+E80+E81)/3</f>
        <v>36.423224275985639</v>
      </c>
    </row>
    <row r="65" spans="1:14" ht="15.6" x14ac:dyDescent="0.3">
      <c r="A65" s="4" t="s">
        <v>6</v>
      </c>
      <c r="B65" s="2">
        <v>28.404892473118274</v>
      </c>
      <c r="C65" s="2">
        <v>28.202307365591409</v>
      </c>
      <c r="D65" s="2">
        <v>29.768150268817173</v>
      </c>
      <c r="E65" s="2">
        <v>31.30534887096772</v>
      </c>
      <c r="F65" s="5"/>
      <c r="G65" t="s">
        <v>18</v>
      </c>
      <c r="H65" s="2">
        <f>(B68+B69+B70)/3</f>
        <v>37.948914575866191</v>
      </c>
      <c r="I65" s="2">
        <f t="shared" ref="I65" si="44">(C68+C69+C70)/3</f>
        <v>37.862795128434897</v>
      </c>
      <c r="J65" s="2">
        <f t="shared" ref="J65" si="45">(D68+D69+D70)/3</f>
        <v>36.966968295101559</v>
      </c>
      <c r="K65" s="2">
        <f t="shared" ref="K65" si="46">(E68+E69+E70)/3</f>
        <v>36.310753028076441</v>
      </c>
      <c r="L65" s="2">
        <f>(C82+C83+C84)/3</f>
        <v>36.210651764038232</v>
      </c>
      <c r="M65" s="2">
        <f t="shared" ref="M65" si="47">(D82+D83+D84)/3</f>
        <v>35.854716710872161</v>
      </c>
      <c r="N65" s="2">
        <f t="shared" ref="N65" si="48">(E82+E83+E84)/3</f>
        <v>35.544072108721601</v>
      </c>
    </row>
    <row r="66" spans="1:14" ht="15.6" x14ac:dyDescent="0.3">
      <c r="A66" s="4" t="s">
        <v>7</v>
      </c>
      <c r="B66" s="2">
        <v>34.79549999999999</v>
      </c>
      <c r="C66" s="2">
        <v>35.515227111111166</v>
      </c>
      <c r="D66" s="2">
        <v>37.116797166666686</v>
      </c>
      <c r="E66" s="2">
        <v>38.830595000000024</v>
      </c>
      <c r="F66" s="5"/>
      <c r="G66" t="s">
        <v>19</v>
      </c>
      <c r="H66" s="2">
        <f>(B71+B72+B73)/3</f>
        <v>31.934307646356022</v>
      </c>
      <c r="I66" s="2">
        <f t="shared" ref="I66" si="49">(C71+C72+C73)/3</f>
        <v>32.022835019713277</v>
      </c>
      <c r="J66" s="2">
        <f t="shared" ref="J66" si="50">(D71+D72+D73)/3</f>
        <v>31.341059118279556</v>
      </c>
      <c r="K66" s="2">
        <f t="shared" ref="K66" si="51">(E71+E72+E73)/3</f>
        <v>30.405795722819615</v>
      </c>
      <c r="L66" s="2">
        <f>(C85+C86+C87)/3</f>
        <v>31.1653644540024</v>
      </c>
      <c r="M66" s="2">
        <f>(D85+D86+D87)/3</f>
        <v>30.811267557347687</v>
      </c>
      <c r="N66" s="2">
        <f>(E85+E86+E87)/3</f>
        <v>30.660364232974931</v>
      </c>
    </row>
    <row r="67" spans="1:14" ht="15.6" x14ac:dyDescent="0.3">
      <c r="A67" s="4" t="s">
        <v>8</v>
      </c>
      <c r="B67" s="2">
        <v>39.456989247311824</v>
      </c>
      <c r="C67" s="2">
        <v>40.730424516129034</v>
      </c>
      <c r="D67" s="2">
        <v>41.723476075268792</v>
      </c>
      <c r="E67" s="2">
        <v>42.163122580645144</v>
      </c>
      <c r="F67" s="5"/>
      <c r="G67" s="12" t="s">
        <v>26</v>
      </c>
      <c r="H67" s="6">
        <f>SUM(H63:H66)/4</f>
        <v>31.331025665868758</v>
      </c>
      <c r="I67" s="6">
        <f t="shared" ref="I67:N67" si="52">SUM(I63:I66)/4</f>
        <v>31.505295113149792</v>
      </c>
      <c r="J67" s="6">
        <f t="shared" si="52"/>
        <v>31.631687262468958</v>
      </c>
      <c r="K67" s="6">
        <f t="shared" si="52"/>
        <v>31.652682677722488</v>
      </c>
      <c r="L67" s="6">
        <f t="shared" si="52"/>
        <v>30.768453227971932</v>
      </c>
      <c r="M67" s="6">
        <f t="shared" si="52"/>
        <v>31.06650495107683</v>
      </c>
      <c r="N67" s="6">
        <f t="shared" si="52"/>
        <v>31.360746971254979</v>
      </c>
    </row>
    <row r="68" spans="1:14" ht="15.6" x14ac:dyDescent="0.3">
      <c r="A68" s="4" t="s">
        <v>9</v>
      </c>
      <c r="B68" s="2">
        <v>40.424055555555555</v>
      </c>
      <c r="C68" s="2">
        <v>41.505463611111125</v>
      </c>
      <c r="D68" s="2">
        <v>39.802251444444437</v>
      </c>
      <c r="E68" s="2">
        <v>38.25111494444441</v>
      </c>
      <c r="F68" s="5"/>
      <c r="H68" t="s">
        <v>0</v>
      </c>
      <c r="I68" t="s">
        <v>1</v>
      </c>
      <c r="J68" t="s">
        <v>2</v>
      </c>
      <c r="K68" t="s">
        <v>3</v>
      </c>
      <c r="L68" s="2" t="s">
        <v>20</v>
      </c>
      <c r="M68" s="2" t="s">
        <v>21</v>
      </c>
      <c r="N68" s="2" t="s">
        <v>22</v>
      </c>
    </row>
    <row r="69" spans="1:14" ht="15.6" x14ac:dyDescent="0.3">
      <c r="A69" s="4" t="s">
        <v>10</v>
      </c>
      <c r="B69" s="2">
        <v>36.913225806451607</v>
      </c>
      <c r="C69" s="2">
        <v>36.521487311827968</v>
      </c>
      <c r="D69" s="2">
        <v>35.707548709677432</v>
      </c>
      <c r="E69" s="2">
        <v>35.259960698924715</v>
      </c>
      <c r="F69" s="5"/>
      <c r="G69" t="s">
        <v>16</v>
      </c>
      <c r="I69" s="6">
        <f>I63-H63</f>
        <v>9.7810772397664891E-2</v>
      </c>
      <c r="J69" s="7">
        <f>J63-H63</f>
        <v>0.79416059846770537</v>
      </c>
      <c r="K69" s="7">
        <f>K63-H63</f>
        <v>1.2394066083468012</v>
      </c>
      <c r="L69" s="7">
        <f>L63-H63</f>
        <v>0.34507146286903279</v>
      </c>
      <c r="M69" s="7">
        <f>M63-H63</f>
        <v>0.95014711813213637</v>
      </c>
      <c r="N69" s="7">
        <f>N63-H63</f>
        <v>1.5935740662282889</v>
      </c>
    </row>
    <row r="70" spans="1:14" ht="15.6" x14ac:dyDescent="0.3">
      <c r="A70" s="4" t="s">
        <v>11</v>
      </c>
      <c r="B70" s="2">
        <v>36.509462365591403</v>
      </c>
      <c r="C70" s="2">
        <v>35.561434462365597</v>
      </c>
      <c r="D70" s="2">
        <v>35.3911047311828</v>
      </c>
      <c r="E70" s="2">
        <v>35.421183440860197</v>
      </c>
      <c r="F70" s="5"/>
      <c r="G70" t="s">
        <v>17</v>
      </c>
      <c r="I70" s="6">
        <f t="shared" ref="I70:I72" si="53">I64-H64</f>
        <v>0.59685909080050692</v>
      </c>
      <c r="J70" s="7">
        <f t="shared" ref="J70:J72" si="54">J64-H64</f>
        <v>1.9836805967741853</v>
      </c>
      <c r="K70" s="7">
        <f t="shared" ref="K70:K72" si="55">K64-H64</f>
        <v>3.2138949103942593</v>
      </c>
      <c r="L70" s="7">
        <f t="shared" ref="L70:L72" si="56">L64-H64</f>
        <v>-8.8155210274756257E-2</v>
      </c>
      <c r="M70" s="7">
        <f t="shared" ref="M70:M72" si="57">M64-H64</f>
        <v>1.2090079767025159</v>
      </c>
      <c r="N70" s="7">
        <f t="shared" ref="N70:N72" si="58">N64-H64</f>
        <v>2.204097035842274</v>
      </c>
    </row>
    <row r="71" spans="1:14" ht="15.6" x14ac:dyDescent="0.3">
      <c r="A71" s="4" t="s">
        <v>12</v>
      </c>
      <c r="B71" s="2">
        <v>35.895833333333314</v>
      </c>
      <c r="C71" s="2">
        <v>36.079318666666687</v>
      </c>
      <c r="D71" s="2">
        <v>36.612852333333336</v>
      </c>
      <c r="E71" s="2">
        <v>36.287103277777796</v>
      </c>
      <c r="F71" s="5"/>
      <c r="G71" t="s">
        <v>18</v>
      </c>
      <c r="I71" s="6">
        <f t="shared" si="53"/>
        <v>-8.611944743129385E-2</v>
      </c>
      <c r="J71" s="7">
        <f t="shared" si="54"/>
        <v>-0.98194628076463175</v>
      </c>
      <c r="K71" s="7">
        <f t="shared" si="55"/>
        <v>-1.6381615477897498</v>
      </c>
      <c r="L71" s="7">
        <f t="shared" si="56"/>
        <v>-1.7382628118279584</v>
      </c>
      <c r="M71" s="7">
        <f t="shared" si="57"/>
        <v>-2.0941978649940296</v>
      </c>
      <c r="N71" s="7">
        <f t="shared" si="58"/>
        <v>-2.40484246714459</v>
      </c>
    </row>
    <row r="72" spans="1:14" ht="15.6" x14ac:dyDescent="0.3">
      <c r="A72" s="4" t="s">
        <v>13</v>
      </c>
      <c r="B72" s="2">
        <v>33.292311827956986</v>
      </c>
      <c r="C72" s="2">
        <v>33.360046559139832</v>
      </c>
      <c r="D72" s="2">
        <v>31.966279354838697</v>
      </c>
      <c r="E72" s="2">
        <v>30.681329946236566</v>
      </c>
      <c r="F72" s="5"/>
      <c r="G72" t="s">
        <v>19</v>
      </c>
      <c r="I72" s="6">
        <f t="shared" si="53"/>
        <v>8.8527373357255357E-2</v>
      </c>
      <c r="J72" s="7">
        <f t="shared" si="54"/>
        <v>-0.59324852807646522</v>
      </c>
      <c r="K72" s="7">
        <f t="shared" si="55"/>
        <v>-1.5285119235364064</v>
      </c>
      <c r="L72" s="7">
        <f t="shared" si="56"/>
        <v>-0.76894319235362119</v>
      </c>
      <c r="M72" s="7">
        <f t="shared" si="57"/>
        <v>-1.1230400890083345</v>
      </c>
      <c r="N72" s="7">
        <f t="shared" si="58"/>
        <v>-1.2739434133810903</v>
      </c>
    </row>
    <row r="73" spans="1:14" ht="15.6" x14ac:dyDescent="0.3">
      <c r="A73" s="4" t="s">
        <v>14</v>
      </c>
      <c r="B73" s="2">
        <v>26.614777777777775</v>
      </c>
      <c r="C73" s="2">
        <v>26.629139833333323</v>
      </c>
      <c r="D73" s="2">
        <v>25.444045666666643</v>
      </c>
      <c r="E73" s="2">
        <v>24.248953944444484</v>
      </c>
      <c r="F73" s="5"/>
      <c r="G73" t="s">
        <v>44</v>
      </c>
      <c r="I73" s="10">
        <f>I67-H67</f>
        <v>0.17426944728103422</v>
      </c>
      <c r="J73" s="10">
        <f>J67-H67</f>
        <v>0.3006615966002002</v>
      </c>
      <c r="K73" s="10">
        <f>K67-H67</f>
        <v>0.32165701185373052</v>
      </c>
      <c r="L73" s="10">
        <f>L67-H67</f>
        <v>-0.56257243789682576</v>
      </c>
      <c r="M73" s="10">
        <f>M67-H67</f>
        <v>-0.26452071479192796</v>
      </c>
      <c r="N73" s="10">
        <f>N67-H67</f>
        <v>2.972130538622153E-2</v>
      </c>
    </row>
    <row r="74" spans="1:14" ht="15.6" x14ac:dyDescent="0.3">
      <c r="A74" s="4" t="s">
        <v>15</v>
      </c>
      <c r="B74" s="2">
        <v>21.443387096774195</v>
      </c>
      <c r="C74" s="2">
        <v>21.741807150537632</v>
      </c>
      <c r="D74" s="2">
        <v>21.037230301399372</v>
      </c>
      <c r="E74" s="2">
        <v>20.429831401766016</v>
      </c>
      <c r="F74" s="5"/>
    </row>
    <row r="75" spans="1:14" x14ac:dyDescent="0.3">
      <c r="A75" s="14" t="s">
        <v>49</v>
      </c>
      <c r="B75" s="14"/>
      <c r="C75" s="14"/>
      <c r="D75" s="14"/>
      <c r="E75" s="14"/>
    </row>
    <row r="76" spans="1:14" x14ac:dyDescent="0.3">
      <c r="A76" s="1"/>
      <c r="B76" s="2" t="s">
        <v>0</v>
      </c>
      <c r="C76" s="2" t="s">
        <v>20</v>
      </c>
      <c r="D76" s="2" t="s">
        <v>21</v>
      </c>
      <c r="E76" s="2" t="s">
        <v>22</v>
      </c>
    </row>
    <row r="77" spans="1:14" x14ac:dyDescent="0.3">
      <c r="A77" s="1" t="s">
        <v>4</v>
      </c>
      <c r="B77" s="2">
        <v>19.286021505376333</v>
      </c>
      <c r="C77" s="2">
        <v>19.507375913978489</v>
      </c>
      <c r="D77" s="2">
        <v>20.485929731182775</v>
      </c>
      <c r="E77" s="2">
        <v>21.505929677419338</v>
      </c>
    </row>
    <row r="78" spans="1:14" x14ac:dyDescent="0.3">
      <c r="A78" s="1" t="s">
        <v>5</v>
      </c>
      <c r="B78" s="2">
        <v>22.935851001177852</v>
      </c>
      <c r="C78" s="2">
        <v>23.480681250000032</v>
      </c>
      <c r="D78" s="2">
        <v>25.137531721698082</v>
      </c>
      <c r="E78" s="2">
        <v>26.759330601415087</v>
      </c>
    </row>
    <row r="79" spans="1:14" x14ac:dyDescent="0.3">
      <c r="A79" s="1" t="s">
        <v>6</v>
      </c>
      <c r="B79" s="2">
        <v>28.404892473118274</v>
      </c>
      <c r="C79" s="2">
        <v>28.430522419354862</v>
      </c>
      <c r="D79" s="2">
        <v>30.656608172043043</v>
      </c>
      <c r="E79" s="2">
        <v>32.856743118279489</v>
      </c>
    </row>
    <row r="80" spans="1:14" x14ac:dyDescent="0.3">
      <c r="A80" s="1" t="s">
        <v>7</v>
      </c>
      <c r="B80" s="2">
        <v>34.79549999999999</v>
      </c>
      <c r="C80" s="2">
        <v>35.028847111111126</v>
      </c>
      <c r="D80" s="2">
        <v>36.963516833333351</v>
      </c>
      <c r="E80" s="2">
        <v>38.585331000000004</v>
      </c>
    </row>
    <row r="81" spans="1:14" x14ac:dyDescent="0.3">
      <c r="A81" s="1" t="s">
        <v>8</v>
      </c>
      <c r="B81" s="2">
        <v>39.456989247311824</v>
      </c>
      <c r="C81" s="2">
        <v>38.933546559139835</v>
      </c>
      <c r="D81" s="2">
        <v>38.664280645161263</v>
      </c>
      <c r="E81" s="2">
        <v>37.827598709677417</v>
      </c>
    </row>
    <row r="82" spans="1:14" x14ac:dyDescent="0.3">
      <c r="A82" s="1" t="s">
        <v>9</v>
      </c>
      <c r="B82" s="2">
        <v>40.424055555555555</v>
      </c>
      <c r="C82" s="2">
        <v>37.748665722222228</v>
      </c>
      <c r="D82" s="2">
        <v>36.579612444444436</v>
      </c>
      <c r="E82" s="2">
        <v>35.659934444444438</v>
      </c>
    </row>
    <row r="83" spans="1:14" x14ac:dyDescent="0.3">
      <c r="A83" s="1" t="s">
        <v>10</v>
      </c>
      <c r="B83" s="2">
        <v>36.913225806451607</v>
      </c>
      <c r="C83" s="2">
        <v>35.5567985483871</v>
      </c>
      <c r="D83" s="2">
        <v>35.613282258064523</v>
      </c>
      <c r="E83" s="2">
        <v>35.714146236559095</v>
      </c>
    </row>
    <row r="84" spans="1:14" x14ac:dyDescent="0.3">
      <c r="A84" s="1" t="s">
        <v>11</v>
      </c>
      <c r="B84" s="2">
        <v>36.509462365591403</v>
      </c>
      <c r="C84" s="2">
        <v>35.326491021505383</v>
      </c>
      <c r="D84" s="2">
        <v>35.371255430107517</v>
      </c>
      <c r="E84" s="2">
        <v>35.258135645161268</v>
      </c>
    </row>
    <row r="85" spans="1:14" x14ac:dyDescent="0.3">
      <c r="A85" s="1" t="s">
        <v>12</v>
      </c>
      <c r="B85" s="2">
        <v>35.895833333333314</v>
      </c>
      <c r="C85" s="2">
        <v>34.557702333333367</v>
      </c>
      <c r="D85" s="2">
        <v>34.749036500000074</v>
      </c>
      <c r="E85" s="2">
        <v>35.40671911111113</v>
      </c>
    </row>
    <row r="86" spans="1:14" x14ac:dyDescent="0.3">
      <c r="A86" s="1" t="s">
        <v>13</v>
      </c>
      <c r="B86" s="2">
        <v>33.292311827956986</v>
      </c>
      <c r="C86" s="2">
        <v>32.071409139784954</v>
      </c>
      <c r="D86" s="2">
        <v>31.811778172043017</v>
      </c>
      <c r="E86" s="2">
        <v>31.581799032258075</v>
      </c>
    </row>
    <row r="87" spans="1:14" x14ac:dyDescent="0.3">
      <c r="A87" s="1" t="s">
        <v>14</v>
      </c>
      <c r="B87" s="2">
        <v>26.614777777777775</v>
      </c>
      <c r="C87" s="2">
        <v>26.866981888888894</v>
      </c>
      <c r="D87" s="2">
        <v>25.872987999999967</v>
      </c>
      <c r="E87" s="2">
        <v>24.992574555555588</v>
      </c>
    </row>
    <row r="88" spans="1:14" x14ac:dyDescent="0.3">
      <c r="A88" s="3" t="s">
        <v>15</v>
      </c>
      <c r="B88" s="2">
        <v>21.443387096774195</v>
      </c>
      <c r="C88" s="2">
        <v>21.712416827956964</v>
      </c>
      <c r="D88" s="2">
        <v>20.892239504843928</v>
      </c>
      <c r="E88" s="2">
        <v>20.180721523178818</v>
      </c>
    </row>
    <row r="93" spans="1:14" x14ac:dyDescent="0.3">
      <c r="A93" s="14" t="s">
        <v>48</v>
      </c>
      <c r="B93" s="14"/>
      <c r="C93" s="14"/>
      <c r="D93" s="14"/>
      <c r="E93" s="14"/>
      <c r="G93" s="14" t="s">
        <v>27</v>
      </c>
      <c r="H93" s="14"/>
      <c r="I93" s="14"/>
      <c r="J93" s="14"/>
      <c r="K93" s="14"/>
      <c r="L93" s="14"/>
      <c r="M93" s="14"/>
      <c r="N93" s="14"/>
    </row>
    <row r="94" spans="1:14" x14ac:dyDescent="0.3">
      <c r="B94" t="s">
        <v>0</v>
      </c>
      <c r="C94" t="s">
        <v>1</v>
      </c>
      <c r="D94" t="s">
        <v>2</v>
      </c>
      <c r="E94" t="s">
        <v>3</v>
      </c>
      <c r="H94" t="s">
        <v>0</v>
      </c>
      <c r="I94" t="s">
        <v>1</v>
      </c>
      <c r="J94" t="s">
        <v>2</v>
      </c>
      <c r="K94" t="s">
        <v>3</v>
      </c>
      <c r="L94" s="2" t="s">
        <v>20</v>
      </c>
      <c r="M94" s="2" t="s">
        <v>21</v>
      </c>
      <c r="N94" s="2" t="s">
        <v>22</v>
      </c>
    </row>
    <row r="95" spans="1:14" ht="15.6" x14ac:dyDescent="0.3">
      <c r="A95" s="4" t="s">
        <v>4</v>
      </c>
      <c r="B95" s="2">
        <v>19.205690501792112</v>
      </c>
      <c r="C95" s="2">
        <v>19.369470627240133</v>
      </c>
      <c r="D95" s="2">
        <v>20.44107951612904</v>
      </c>
      <c r="E95" s="2">
        <v>21.307226810035832</v>
      </c>
      <c r="F95" s="5"/>
      <c r="G95" t="s">
        <v>16</v>
      </c>
      <c r="H95" s="2">
        <f>(B106+B95+B96)/3</f>
        <v>21.091834400369823</v>
      </c>
      <c r="I95" s="2">
        <f t="shared" ref="I95" si="59">(C106+C95+C96)/3</f>
        <v>21.174291609479607</v>
      </c>
      <c r="J95" s="2">
        <f t="shared" ref="J95" si="60">(D106+D95+D96)/3</f>
        <v>21.826894574323763</v>
      </c>
      <c r="K95" s="2">
        <f t="shared" ref="K95" si="61">(E106+E95+E96)/3</f>
        <v>22.327197450317598</v>
      </c>
      <c r="L95" s="2">
        <f>(C121+C110+C111)/3</f>
        <v>21.290096936399653</v>
      </c>
      <c r="M95" s="2">
        <f>(D121+D110+D111)/3</f>
        <v>21.921785759763015</v>
      </c>
      <c r="N95" s="2">
        <f>(E121+E110+E111)/3</f>
        <v>22.50848268341743</v>
      </c>
    </row>
    <row r="96" spans="1:14" ht="15.6" x14ac:dyDescent="0.3">
      <c r="A96" s="4" t="s">
        <v>5</v>
      </c>
      <c r="B96" s="2">
        <v>22.494617000392619</v>
      </c>
      <c r="C96" s="2">
        <v>23.06650638757861</v>
      </c>
      <c r="D96" s="2">
        <v>24.501717590408816</v>
      </c>
      <c r="E96" s="2">
        <v>25.678592472484286</v>
      </c>
      <c r="F96" s="5"/>
      <c r="G96" t="s">
        <v>17</v>
      </c>
      <c r="H96" s="2">
        <f>(B97+B98+B99)/3</f>
        <v>33.526725746714447</v>
      </c>
      <c r="I96" s="2">
        <f t="shared" ref="I96" si="62">(C97+C98+C99)/3</f>
        <v>34.306419627439283</v>
      </c>
      <c r="J96" s="2">
        <f t="shared" ref="J96" si="63">(D97+D98+D99)/3</f>
        <v>35.709146459179607</v>
      </c>
      <c r="K96" s="2">
        <f t="shared" ref="K96" si="64">(E97+E98+E99)/3</f>
        <v>36.829292243926716</v>
      </c>
      <c r="L96" s="2">
        <f>(C112+C113+C114)/3</f>
        <v>34.018968037236178</v>
      </c>
      <c r="M96" s="2">
        <f t="shared" ref="M96" si="65">(D112+D113+D114)/3</f>
        <v>35.608767663281562</v>
      </c>
      <c r="N96" s="2">
        <f t="shared" ref="N96" si="66">(E112+E113+E114)/3</f>
        <v>36.85473689048186</v>
      </c>
    </row>
    <row r="97" spans="1:14" ht="15.6" x14ac:dyDescent="0.3">
      <c r="A97" s="4" t="s">
        <v>6</v>
      </c>
      <c r="B97" s="2">
        <v>27.441980824372752</v>
      </c>
      <c r="C97" s="2">
        <v>27.957176630824389</v>
      </c>
      <c r="D97" s="2">
        <v>29.655557616487442</v>
      </c>
      <c r="E97" s="2">
        <v>31.160173118279548</v>
      </c>
      <c r="F97" s="5"/>
      <c r="G97" t="s">
        <v>18</v>
      </c>
      <c r="H97" s="2">
        <f>(B100+B101+B102)/3</f>
        <v>37.497499303066512</v>
      </c>
      <c r="I97" s="2">
        <f t="shared" ref="I97" si="67">(C100+C101+C102)/3</f>
        <v>37.70919952469135</v>
      </c>
      <c r="J97" s="2">
        <f t="shared" ref="J97" si="68">(D100+D101+D102)/3</f>
        <v>37.06805019315015</v>
      </c>
      <c r="K97" s="2">
        <f t="shared" ref="K97" si="69">(E100+E101+E102)/3</f>
        <v>36.617530209677419</v>
      </c>
      <c r="L97" s="2">
        <f>(C115+C116+C117)/3</f>
        <v>37.136248744922348</v>
      </c>
      <c r="M97" s="2">
        <f t="shared" ref="M97" si="70">(D115+D116+D117)/3</f>
        <v>36.736692749701319</v>
      </c>
      <c r="N97" s="2">
        <f t="shared" ref="N97" si="71">(E115+E116+E117)/3</f>
        <v>36.35500010712861</v>
      </c>
    </row>
    <row r="98" spans="1:14" ht="15.6" x14ac:dyDescent="0.3">
      <c r="A98" s="4" t="s">
        <v>7</v>
      </c>
      <c r="B98" s="2">
        <v>34.060299999999998</v>
      </c>
      <c r="C98" s="2">
        <v>34.844480907407423</v>
      </c>
      <c r="D98" s="2">
        <v>36.658005148148156</v>
      </c>
      <c r="E98" s="2">
        <v>38.371597018518536</v>
      </c>
      <c r="F98" s="5"/>
      <c r="G98" t="s">
        <v>19</v>
      </c>
      <c r="H98" s="2">
        <f>(B103+B104+B105)/3</f>
        <v>31.786758104340901</v>
      </c>
      <c r="I98" s="2">
        <f t="shared" ref="I98" si="72">(C103+C104+C105)/3</f>
        <v>31.704554594782966</v>
      </c>
      <c r="J98" s="2">
        <f t="shared" ref="J98" si="73">(D103+D104+D105)/3</f>
        <v>30.869665300677017</v>
      </c>
      <c r="K98" s="2">
        <f t="shared" ref="K98" si="74">(E103+E104+E105)/3</f>
        <v>29.957093556750298</v>
      </c>
      <c r="L98" s="2">
        <f>(C118+C119+C120)/3</f>
        <v>31.440316339506182</v>
      </c>
      <c r="M98" s="2">
        <f>(D118+D119+D120)/3</f>
        <v>30.893877846276393</v>
      </c>
      <c r="N98" s="2">
        <f>(E118+E119+E120)/3</f>
        <v>30.546234362007183</v>
      </c>
    </row>
    <row r="99" spans="1:14" ht="15.6" x14ac:dyDescent="0.3">
      <c r="A99" s="4" t="s">
        <v>8</v>
      </c>
      <c r="B99" s="2">
        <v>39.077896415770603</v>
      </c>
      <c r="C99" s="2">
        <v>40.11760134408604</v>
      </c>
      <c r="D99" s="2">
        <v>40.813876612903215</v>
      </c>
      <c r="E99" s="2">
        <v>40.95610659498206</v>
      </c>
      <c r="F99" s="5"/>
      <c r="G99" s="12" t="s">
        <v>26</v>
      </c>
      <c r="H99" s="6">
        <f>SUM(H95:H98)/4</f>
        <v>30.975704388622919</v>
      </c>
      <c r="I99" s="6">
        <f t="shared" ref="I99:N99" si="75">SUM(I95:I98)/4</f>
        <v>31.223616339098299</v>
      </c>
      <c r="J99" s="6">
        <f t="shared" si="75"/>
        <v>31.368439131832631</v>
      </c>
      <c r="K99" s="6">
        <f t="shared" si="75"/>
        <v>31.432778365168005</v>
      </c>
      <c r="L99" s="6">
        <f t="shared" si="75"/>
        <v>30.971407514516088</v>
      </c>
      <c r="M99" s="6">
        <f t="shared" si="75"/>
        <v>31.290281004755574</v>
      </c>
      <c r="N99" s="6">
        <f t="shared" si="75"/>
        <v>31.566113510758772</v>
      </c>
    </row>
    <row r="100" spans="1:14" ht="15.6" x14ac:dyDescent="0.3">
      <c r="A100" s="4" t="s">
        <v>9</v>
      </c>
      <c r="B100" s="2">
        <v>40.021468518518517</v>
      </c>
      <c r="C100" s="2">
        <v>40.443648574074061</v>
      </c>
      <c r="D100" s="2">
        <v>39.057363518518507</v>
      </c>
      <c r="E100" s="2">
        <v>37.974535611111108</v>
      </c>
      <c r="F100" s="5"/>
      <c r="H100" t="s">
        <v>0</v>
      </c>
      <c r="I100" t="s">
        <v>1</v>
      </c>
      <c r="J100" t="s">
        <v>2</v>
      </c>
      <c r="K100" t="s">
        <v>3</v>
      </c>
      <c r="L100" s="2" t="s">
        <v>20</v>
      </c>
      <c r="M100" s="2" t="s">
        <v>21</v>
      </c>
      <c r="N100" s="2" t="s">
        <v>22</v>
      </c>
    </row>
    <row r="101" spans="1:14" ht="15.6" x14ac:dyDescent="0.3">
      <c r="A101" s="4" t="s">
        <v>10</v>
      </c>
      <c r="B101" s="2">
        <v>36.560158602150537</v>
      </c>
      <c r="C101" s="2">
        <v>36.626004050179226</v>
      </c>
      <c r="D101" s="2">
        <v>36.271722939068098</v>
      </c>
      <c r="E101" s="2">
        <v>36.208539802867371</v>
      </c>
      <c r="F101" s="5"/>
      <c r="G101" t="s">
        <v>16</v>
      </c>
      <c r="I101" s="6">
        <f>I95-H95</f>
        <v>8.2457209109783491E-2</v>
      </c>
      <c r="J101" s="7">
        <f>J95-H95</f>
        <v>0.73506017395393997</v>
      </c>
      <c r="K101" s="7">
        <f>K95-H95</f>
        <v>1.2353630499477752</v>
      </c>
      <c r="L101" s="6">
        <f>L95-H95</f>
        <v>0.19826253602983002</v>
      </c>
      <c r="M101" s="6">
        <f>M95-H95</f>
        <v>0.82995135939319198</v>
      </c>
      <c r="N101" s="6">
        <f>N95-H95</f>
        <v>1.416648283047607</v>
      </c>
    </row>
    <row r="102" spans="1:14" ht="15.6" x14ac:dyDescent="0.3">
      <c r="A102" s="4" t="s">
        <v>11</v>
      </c>
      <c r="B102" s="2">
        <v>35.910870788530467</v>
      </c>
      <c r="C102" s="2">
        <v>36.057945949820777</v>
      </c>
      <c r="D102" s="2">
        <v>35.875064121863822</v>
      </c>
      <c r="E102" s="2">
        <v>35.669515215053757</v>
      </c>
      <c r="F102" s="5"/>
      <c r="G102" t="s">
        <v>17</v>
      </c>
      <c r="I102" s="6">
        <f t="shared" ref="I102:I104" si="76">I96-H96</f>
        <v>0.77969388072483525</v>
      </c>
      <c r="J102" s="7">
        <f t="shared" ref="J102:J104" si="77">J96-H96</f>
        <v>2.1824207124651593</v>
      </c>
      <c r="K102" s="7">
        <f t="shared" ref="K102:K104" si="78">K96-H96</f>
        <v>3.3025664972122684</v>
      </c>
      <c r="L102" s="6">
        <f t="shared" ref="L102:L104" si="79">L96-H96</f>
        <v>0.4922422905217303</v>
      </c>
      <c r="M102" s="6">
        <f t="shared" ref="M102:M104" si="80">M96-H96</f>
        <v>2.082041916567114</v>
      </c>
      <c r="N102" s="6">
        <f t="shared" ref="N102:N104" si="81">N96-H96</f>
        <v>3.3280111437674122</v>
      </c>
    </row>
    <row r="103" spans="1:14" ht="15.6" x14ac:dyDescent="0.3">
      <c r="A103" s="4" t="s">
        <v>12</v>
      </c>
      <c r="B103" s="2">
        <v>35.404011111111103</v>
      </c>
      <c r="C103" s="2">
        <v>35.451119796296325</v>
      </c>
      <c r="D103" s="2">
        <v>35.564670259259266</v>
      </c>
      <c r="E103" s="2">
        <v>35.172326703703682</v>
      </c>
      <c r="F103" s="5"/>
      <c r="G103" t="s">
        <v>18</v>
      </c>
      <c r="I103" s="6">
        <f t="shared" si="76"/>
        <v>0.21170022162483804</v>
      </c>
      <c r="J103" s="7">
        <f t="shared" si="77"/>
        <v>-0.4294491099163622</v>
      </c>
      <c r="K103" s="7">
        <f t="shared" si="78"/>
        <v>-0.8799690933890929</v>
      </c>
      <c r="L103" s="6">
        <f t="shared" si="79"/>
        <v>-0.36125055814416385</v>
      </c>
      <c r="M103" s="6">
        <f t="shared" si="80"/>
        <v>-0.76080655336519243</v>
      </c>
      <c r="N103" s="6">
        <f t="shared" si="81"/>
        <v>-1.1424991959379014</v>
      </c>
    </row>
    <row r="104" spans="1:14" ht="15.6" x14ac:dyDescent="0.3">
      <c r="A104" s="4" t="s">
        <v>13</v>
      </c>
      <c r="B104" s="2">
        <v>32.739887275985666</v>
      </c>
      <c r="C104" s="2">
        <v>32.699038136200734</v>
      </c>
      <c r="D104" s="2">
        <v>31.717540716845871</v>
      </c>
      <c r="E104" s="2">
        <v>30.8183876702509</v>
      </c>
      <c r="F104" s="5"/>
      <c r="G104" t="s">
        <v>19</v>
      </c>
      <c r="I104" s="6">
        <f t="shared" si="76"/>
        <v>-8.2203509557935206E-2</v>
      </c>
      <c r="J104" s="7">
        <f t="shared" si="77"/>
        <v>-0.91709280366388413</v>
      </c>
      <c r="K104" s="7">
        <f t="shared" si="78"/>
        <v>-1.8296645475906033</v>
      </c>
      <c r="L104" s="6">
        <f t="shared" si="79"/>
        <v>-0.34644176483471867</v>
      </c>
      <c r="M104" s="6">
        <f t="shared" si="80"/>
        <v>-0.89288025806450833</v>
      </c>
      <c r="N104" s="6">
        <f t="shared" si="81"/>
        <v>-1.2405237423337176</v>
      </c>
    </row>
    <row r="105" spans="1:14" ht="15.6" x14ac:dyDescent="0.3">
      <c r="A105" s="4" t="s">
        <v>14</v>
      </c>
      <c r="B105" s="2">
        <v>27.216375925925927</v>
      </c>
      <c r="C105" s="2">
        <v>26.963505851851853</v>
      </c>
      <c r="D105" s="2">
        <v>25.326784925925917</v>
      </c>
      <c r="E105" s="2">
        <v>23.880566296296319</v>
      </c>
      <c r="F105" s="5"/>
      <c r="G105" t="s">
        <v>44</v>
      </c>
      <c r="I105" s="11">
        <f>I99-H99</f>
        <v>0.24791195047538039</v>
      </c>
      <c r="J105" s="11">
        <f>J99-H99</f>
        <v>0.39273474320971147</v>
      </c>
      <c r="K105" s="11">
        <f>K99-H99</f>
        <v>0.45707397654508597</v>
      </c>
      <c r="L105" s="2">
        <f>L99-H99</f>
        <v>-4.2968741068314387E-3</v>
      </c>
      <c r="M105" s="2">
        <f>M99-H99</f>
        <v>0.31457661613265486</v>
      </c>
      <c r="N105" s="2">
        <f>N99-H99</f>
        <v>0.59040912213585273</v>
      </c>
    </row>
    <row r="106" spans="1:14" ht="15.6" x14ac:dyDescent="0.3">
      <c r="A106" s="4" t="s">
        <v>15</v>
      </c>
      <c r="B106" s="2">
        <v>21.575195698924734</v>
      </c>
      <c r="C106" s="2">
        <v>21.086897813620066</v>
      </c>
      <c r="D106" s="2">
        <v>20.53788661643344</v>
      </c>
      <c r="E106" s="2">
        <v>19.99577306843268</v>
      </c>
      <c r="F106" s="5"/>
      <c r="I106" s="10"/>
    </row>
    <row r="107" spans="1:14" ht="15.6" x14ac:dyDescent="0.3">
      <c r="A107" s="4"/>
      <c r="B107" s="2"/>
      <c r="C107" s="2"/>
      <c r="D107" s="2"/>
      <c r="E107" s="2"/>
      <c r="F107" s="5"/>
    </row>
    <row r="108" spans="1:14" x14ac:dyDescent="0.3">
      <c r="A108" s="14" t="s">
        <v>37</v>
      </c>
      <c r="B108" s="14"/>
      <c r="C108" s="14"/>
      <c r="D108" s="14"/>
      <c r="E108" s="14"/>
    </row>
    <row r="109" spans="1:14" x14ac:dyDescent="0.3">
      <c r="A109" s="1"/>
      <c r="B109" s="2" t="s">
        <v>0</v>
      </c>
      <c r="C109" s="2" t="s">
        <v>20</v>
      </c>
      <c r="D109" s="2" t="s">
        <v>21</v>
      </c>
      <c r="E109" s="2" t="s">
        <v>22</v>
      </c>
    </row>
    <row r="110" spans="1:14" x14ac:dyDescent="0.3">
      <c r="A110" s="1" t="s">
        <v>4</v>
      </c>
      <c r="B110" s="2">
        <v>19.205690501792112</v>
      </c>
      <c r="C110" s="2">
        <v>19.524752831541218</v>
      </c>
      <c r="D110" s="2">
        <v>20.44896645161289</v>
      </c>
      <c r="E110" s="2">
        <v>21.291852150537615</v>
      </c>
    </row>
    <row r="111" spans="1:14" x14ac:dyDescent="0.3">
      <c r="A111" s="1" t="s">
        <v>5</v>
      </c>
      <c r="B111" s="2">
        <v>22.494617000392619</v>
      </c>
      <c r="C111" s="2">
        <v>23.24322706367926</v>
      </c>
      <c r="D111" s="2">
        <v>24.812331426886768</v>
      </c>
      <c r="E111" s="2">
        <v>26.303489111635212</v>
      </c>
    </row>
    <row r="112" spans="1:14" x14ac:dyDescent="0.3">
      <c r="A112" s="1" t="s">
        <v>6</v>
      </c>
      <c r="B112" s="2">
        <v>27.441980824372752</v>
      </c>
      <c r="C112" s="2">
        <v>28.057055913978513</v>
      </c>
      <c r="D112" s="2">
        <v>30.139012849462393</v>
      </c>
      <c r="E112" s="2">
        <v>32.248406218637932</v>
      </c>
    </row>
    <row r="113" spans="1:5" x14ac:dyDescent="0.3">
      <c r="A113" s="1" t="s">
        <v>7</v>
      </c>
      <c r="B113" s="2">
        <v>34.060299999999998</v>
      </c>
      <c r="C113" s="2">
        <v>34.486935796296287</v>
      </c>
      <c r="D113" s="2">
        <v>36.820222129629627</v>
      </c>
      <c r="E113" s="2">
        <v>38.849783592592608</v>
      </c>
    </row>
    <row r="114" spans="1:5" x14ac:dyDescent="0.3">
      <c r="A114" s="1" t="s">
        <v>8</v>
      </c>
      <c r="B114" s="2">
        <v>39.077896415770603</v>
      </c>
      <c r="C114" s="2">
        <v>39.512912401433738</v>
      </c>
      <c r="D114" s="2">
        <v>39.867068010752668</v>
      </c>
      <c r="E114" s="2">
        <v>39.466020860215046</v>
      </c>
    </row>
    <row r="115" spans="1:5" x14ac:dyDescent="0.3">
      <c r="A115" s="1" t="s">
        <v>9</v>
      </c>
      <c r="B115" s="2">
        <v>40.021468518518517</v>
      </c>
      <c r="C115" s="2">
        <v>39.222348833333335</v>
      </c>
      <c r="D115" s="2">
        <v>37.964571833333345</v>
      </c>
      <c r="E115" s="2">
        <v>36.97742607407406</v>
      </c>
    </row>
    <row r="116" spans="1:5" x14ac:dyDescent="0.3">
      <c r="A116" s="1" t="s">
        <v>10</v>
      </c>
      <c r="B116" s="2">
        <v>36.560158602150537</v>
      </c>
      <c r="C116" s="2">
        <v>36.255316953405035</v>
      </c>
      <c r="D116" s="2">
        <v>36.331629498207882</v>
      </c>
      <c r="E116" s="2">
        <v>36.435664695340478</v>
      </c>
    </row>
    <row r="117" spans="1:5" x14ac:dyDescent="0.3">
      <c r="A117" s="1" t="s">
        <v>11</v>
      </c>
      <c r="B117" s="2">
        <v>35.910870788530467</v>
      </c>
      <c r="C117" s="2">
        <v>35.931080448028666</v>
      </c>
      <c r="D117" s="2">
        <v>35.913876917562725</v>
      </c>
      <c r="E117" s="2">
        <v>35.651909551971301</v>
      </c>
    </row>
    <row r="118" spans="1:5" x14ac:dyDescent="0.3">
      <c r="A118" s="1" t="s">
        <v>12</v>
      </c>
      <c r="B118" s="2">
        <v>35.404011111111103</v>
      </c>
      <c r="C118" s="2">
        <v>34.953225444444463</v>
      </c>
      <c r="D118" s="2">
        <v>35.014098259259292</v>
      </c>
      <c r="E118" s="2">
        <v>35.527114407407424</v>
      </c>
    </row>
    <row r="119" spans="1:5" x14ac:dyDescent="0.3">
      <c r="A119" s="1" t="s">
        <v>13</v>
      </c>
      <c r="B119" s="2">
        <v>32.739887275985666</v>
      </c>
      <c r="C119" s="2">
        <v>32.30287944444445</v>
      </c>
      <c r="D119" s="2">
        <v>31.991801612903231</v>
      </c>
      <c r="E119" s="2">
        <v>31.801091863799286</v>
      </c>
    </row>
    <row r="120" spans="1:5" x14ac:dyDescent="0.3">
      <c r="A120" s="1" t="s">
        <v>14</v>
      </c>
      <c r="B120" s="2">
        <v>27.216375925925927</v>
      </c>
      <c r="C120" s="2">
        <v>27.06484412962963</v>
      </c>
      <c r="D120" s="2">
        <v>25.675733666666648</v>
      </c>
      <c r="E120" s="2">
        <v>24.31049681481484</v>
      </c>
    </row>
    <row r="121" spans="1:5" x14ac:dyDescent="0.3">
      <c r="A121" s="3" t="s">
        <v>15</v>
      </c>
      <c r="B121" s="2">
        <v>21.575195698924734</v>
      </c>
      <c r="C121" s="2">
        <v>21.102310913978481</v>
      </c>
      <c r="D121" s="2">
        <v>20.504059400789391</v>
      </c>
      <c r="E121" s="2">
        <v>19.93010678807947</v>
      </c>
    </row>
    <row r="122" spans="1:5" x14ac:dyDescent="0.3">
      <c r="B122" s="10"/>
    </row>
  </sheetData>
  <mergeCells count="12">
    <mergeCell ref="A93:E93"/>
    <mergeCell ref="G93:N93"/>
    <mergeCell ref="A108:E108"/>
    <mergeCell ref="A61:E61"/>
    <mergeCell ref="G61:N61"/>
    <mergeCell ref="A75:E75"/>
    <mergeCell ref="A46:E46"/>
    <mergeCell ref="A1:E1"/>
    <mergeCell ref="A16:E16"/>
    <mergeCell ref="G1:N1"/>
    <mergeCell ref="A31:E31"/>
    <mergeCell ref="G31:N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"/>
  <sheetViews>
    <sheetView topLeftCell="A51" workbookViewId="0">
      <selection activeCell="I72" sqref="I72"/>
    </sheetView>
  </sheetViews>
  <sheetFormatPr defaultRowHeight="14.4" x14ac:dyDescent="0.3"/>
  <cols>
    <col min="2" max="2" width="9.5546875" bestFit="1" customWidth="1"/>
    <col min="3" max="4" width="12.5546875" bestFit="1" customWidth="1"/>
    <col min="5" max="5" width="11.88671875" bestFit="1" customWidth="1"/>
    <col min="8" max="8" width="9.5546875" bestFit="1" customWidth="1"/>
    <col min="9" max="10" width="12.5546875" bestFit="1" customWidth="1"/>
    <col min="11" max="11" width="11.88671875" bestFit="1" customWidth="1"/>
    <col min="12" max="14" width="12.5546875" bestFit="1" customWidth="1"/>
  </cols>
  <sheetData>
    <row r="1" spans="1:14" x14ac:dyDescent="0.3">
      <c r="A1" s="14" t="s">
        <v>24</v>
      </c>
      <c r="B1" s="14"/>
      <c r="C1" s="14"/>
      <c r="D1" s="14"/>
      <c r="E1" s="14"/>
      <c r="G1" s="14" t="s">
        <v>27</v>
      </c>
      <c r="H1" s="14"/>
      <c r="I1" s="14"/>
      <c r="J1" s="14"/>
      <c r="K1" s="14"/>
      <c r="L1" s="14"/>
      <c r="M1" s="14"/>
      <c r="N1" s="14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20</v>
      </c>
      <c r="M2" s="1" t="s">
        <v>21</v>
      </c>
      <c r="N2" s="1" t="s">
        <v>22</v>
      </c>
    </row>
    <row r="3" spans="1:14" ht="15.6" x14ac:dyDescent="0.3">
      <c r="A3" s="4" t="s">
        <v>4</v>
      </c>
      <c r="B3" s="2">
        <v>7.2292258064509998</v>
      </c>
      <c r="C3" s="2">
        <v>7.9104149462365614</v>
      </c>
      <c r="D3" s="2">
        <v>8.3214211290322666</v>
      </c>
      <c r="E3" s="2">
        <v>9.0133435483870983</v>
      </c>
      <c r="G3" t="s">
        <v>16</v>
      </c>
      <c r="H3" s="2">
        <f>(B14+B3+B4)/3</f>
        <v>8.4731827956987189</v>
      </c>
      <c r="I3" s="2">
        <f t="shared" ref="I3:K3" si="0">(C14+C3+C4)/3</f>
        <v>9.022824235942041</v>
      </c>
      <c r="J3" s="2">
        <f t="shared" si="0"/>
        <v>9.40075849320319</v>
      </c>
      <c r="K3" s="2">
        <f t="shared" si="0"/>
        <v>9.8586927313295778</v>
      </c>
      <c r="L3" s="2">
        <f>(C28+C17+C18)/3</f>
        <v>9.0004058040001436</v>
      </c>
      <c r="M3" s="2">
        <f>(D28+D17+D18)/3</f>
        <v>9.4792423839860778</v>
      </c>
      <c r="N3" s="2">
        <f>(E28+E17+E18)/3</f>
        <v>9.9691904931430795</v>
      </c>
    </row>
    <row r="4" spans="1:14" ht="15.6" x14ac:dyDescent="0.3">
      <c r="A4" s="4" t="s">
        <v>5</v>
      </c>
      <c r="B4" s="2">
        <v>9.8403225806451555</v>
      </c>
      <c r="C4" s="2">
        <v>10.706491686320748</v>
      </c>
      <c r="D4" s="2">
        <v>11.78938508254717</v>
      </c>
      <c r="E4" s="2">
        <v>12.918401533018862</v>
      </c>
      <c r="G4" t="s">
        <v>17</v>
      </c>
      <c r="H4" s="2">
        <f>(B5+B6+B7)/3</f>
        <v>19.301655262300432</v>
      </c>
      <c r="I4" s="2">
        <f t="shared" ref="I4:K4" si="1">(C5+C6+C7)/3</f>
        <v>20.313048113500596</v>
      </c>
      <c r="J4" s="2">
        <f t="shared" si="1"/>
        <v>21.772696933691766</v>
      </c>
      <c r="K4" s="2">
        <f t="shared" si="1"/>
        <v>22.907907994026289</v>
      </c>
      <c r="L4" s="2">
        <f>(C19+C20+C21)/3</f>
        <v>20.282089691158905</v>
      </c>
      <c r="M4" s="2">
        <f t="shared" ref="M4:N4" si="2">(D19+D20+D21)/3</f>
        <v>21.973730508960561</v>
      </c>
      <c r="N4" s="2">
        <f t="shared" si="2"/>
        <v>23.445353927120678</v>
      </c>
    </row>
    <row r="5" spans="1:14" ht="15.6" x14ac:dyDescent="0.3">
      <c r="A5" s="4" t="s">
        <v>6</v>
      </c>
      <c r="B5" s="2">
        <v>14.266862170087979</v>
      </c>
      <c r="C5" s="2">
        <v>14.801231666666663</v>
      </c>
      <c r="D5" s="2">
        <v>16.367095860215048</v>
      </c>
      <c r="E5" s="2">
        <v>17.644425752688175</v>
      </c>
      <c r="G5" t="s">
        <v>18</v>
      </c>
      <c r="H5" s="2">
        <f>(B8+B9+B10)/3</f>
        <v>27.068429455848815</v>
      </c>
      <c r="I5" s="2">
        <f t="shared" ref="I5:K5" si="3">(C8+C9+C10)/3</f>
        <v>27.382560654121846</v>
      </c>
      <c r="J5" s="2">
        <f t="shared" si="3"/>
        <v>27.283275980884103</v>
      </c>
      <c r="K5" s="2">
        <f t="shared" si="3"/>
        <v>27.171277008960558</v>
      </c>
      <c r="L5" s="2">
        <f>(C22+C23+C24)/3</f>
        <v>27.310531236559143</v>
      </c>
      <c r="M5" s="2">
        <f t="shared" ref="M5:N5" si="4">(D22+D23+D24)/3</f>
        <v>27.35965928853048</v>
      </c>
      <c r="N5" s="2">
        <f t="shared" si="4"/>
        <v>27.315704518518501</v>
      </c>
    </row>
    <row r="6" spans="1:14" ht="15.6" x14ac:dyDescent="0.3">
      <c r="A6" s="4" t="s">
        <v>7</v>
      </c>
      <c r="B6" s="2">
        <v>19.351212121212125</v>
      </c>
      <c r="C6" s="2">
        <v>20.36304455555555</v>
      </c>
      <c r="D6" s="2">
        <v>22.357253166666684</v>
      </c>
      <c r="E6" s="2">
        <v>23.988965111111121</v>
      </c>
      <c r="G6" t="s">
        <v>19</v>
      </c>
      <c r="H6" s="2">
        <f>(B11+B12+B13)/3</f>
        <v>18.763066145324199</v>
      </c>
      <c r="I6" s="2">
        <f t="shared" ref="I6:K6" si="5">(C11+C12+C13)/3</f>
        <v>18.531281031660686</v>
      </c>
      <c r="J6" s="2">
        <f t="shared" si="5"/>
        <v>17.580595652927119</v>
      </c>
      <c r="K6" s="2">
        <f t="shared" si="5"/>
        <v>16.34630642532856</v>
      </c>
      <c r="L6" s="2">
        <f>(C25+C26+C27)/3</f>
        <v>18.659941043010743</v>
      </c>
      <c r="M6" s="2">
        <f>(D25+D26+D27)/3</f>
        <v>17.804585946236553</v>
      </c>
      <c r="N6" s="2">
        <f>(E25+E26+E27)/3</f>
        <v>17.323827072281947</v>
      </c>
    </row>
    <row r="7" spans="1:14" ht="15.6" x14ac:dyDescent="0.3">
      <c r="A7" s="4" t="s">
        <v>8</v>
      </c>
      <c r="B7" s="2">
        <v>24.2868914956012</v>
      </c>
      <c r="C7" s="2">
        <v>25.774868118279578</v>
      </c>
      <c r="D7" s="2">
        <v>26.593741774193564</v>
      </c>
      <c r="E7" s="2">
        <v>27.090333118279581</v>
      </c>
      <c r="G7" s="12" t="s">
        <v>26</v>
      </c>
      <c r="H7" s="6">
        <f>SUM(H3:H6)/4</f>
        <v>18.401583414793041</v>
      </c>
      <c r="I7" s="6">
        <f t="shared" ref="I7:N7" si="6">SUM(I3:I6)/4</f>
        <v>18.812428508806292</v>
      </c>
      <c r="J7" s="6">
        <f t="shared" si="6"/>
        <v>19.009331765176544</v>
      </c>
      <c r="K7" s="6">
        <f t="shared" si="6"/>
        <v>19.071046039911245</v>
      </c>
      <c r="L7" s="6">
        <f t="shared" si="6"/>
        <v>18.813241943682232</v>
      </c>
      <c r="M7" s="6">
        <f t="shared" si="6"/>
        <v>19.154304531928418</v>
      </c>
      <c r="N7" s="6">
        <f t="shared" si="6"/>
        <v>19.513519002766053</v>
      </c>
    </row>
    <row r="8" spans="1:14" ht="15.6" x14ac:dyDescent="0.3">
      <c r="A8" s="4" t="s">
        <v>9</v>
      </c>
      <c r="B8" s="2">
        <v>27.354848484848482</v>
      </c>
      <c r="C8" s="2">
        <v>27.521007499999971</v>
      </c>
      <c r="D8" s="2">
        <v>27.351767888888848</v>
      </c>
      <c r="E8" s="2">
        <v>27.097601833333311</v>
      </c>
      <c r="H8" s="1" t="s">
        <v>0</v>
      </c>
      <c r="I8" s="1" t="s">
        <v>1</v>
      </c>
      <c r="J8" s="1" t="s">
        <v>2</v>
      </c>
      <c r="K8" s="1" t="s">
        <v>3</v>
      </c>
      <c r="L8" s="1" t="s">
        <v>20</v>
      </c>
      <c r="M8" s="1" t="s">
        <v>21</v>
      </c>
      <c r="N8" s="1" t="s">
        <v>22</v>
      </c>
    </row>
    <row r="9" spans="1:14" ht="15.6" x14ac:dyDescent="0.3">
      <c r="A9" s="4" t="s">
        <v>10</v>
      </c>
      <c r="B9" s="2">
        <v>27.070674486803515</v>
      </c>
      <c r="C9" s="2">
        <v>27.199432150537618</v>
      </c>
      <c r="D9" s="2">
        <v>27.201817634408616</v>
      </c>
      <c r="E9" s="2">
        <v>27.585171236559152</v>
      </c>
      <c r="G9" t="s">
        <v>16</v>
      </c>
      <c r="H9" s="1"/>
      <c r="I9" s="6">
        <f>I3-H3</f>
        <v>0.54964144024332207</v>
      </c>
      <c r="J9" s="6">
        <f>J3-H3</f>
        <v>0.92757569750447111</v>
      </c>
      <c r="K9" s="6">
        <f>K3-H3</f>
        <v>1.3855099356308589</v>
      </c>
      <c r="L9" s="6">
        <f>L3-H3</f>
        <v>0.52722300830142466</v>
      </c>
      <c r="M9" s="6">
        <f>M3-H3</f>
        <v>1.0060595882873589</v>
      </c>
      <c r="N9" s="6">
        <f>N3-H3</f>
        <v>1.4960076974443606</v>
      </c>
    </row>
    <row r="10" spans="1:14" ht="15.6" x14ac:dyDescent="0.3">
      <c r="A10" s="4" t="s">
        <v>11</v>
      </c>
      <c r="B10" s="2">
        <v>26.779765395894437</v>
      </c>
      <c r="C10" s="2">
        <v>27.42724231182796</v>
      </c>
      <c r="D10" s="2">
        <v>27.296242419354844</v>
      </c>
      <c r="E10" s="2">
        <v>26.831057956989216</v>
      </c>
      <c r="G10" t="s">
        <v>17</v>
      </c>
      <c r="H10" s="1"/>
      <c r="I10" s="6">
        <f t="shared" ref="I10:I12" si="7">I4-H4</f>
        <v>1.0113928512001635</v>
      </c>
      <c r="J10" s="6">
        <f t="shared" ref="J10:J12" si="8">J4-H4</f>
        <v>2.4710416713913332</v>
      </c>
      <c r="K10" s="6">
        <f t="shared" ref="K10:K12" si="9">K4-H4</f>
        <v>3.6062527317258564</v>
      </c>
      <c r="L10" s="6">
        <f t="shared" ref="L10:L12" si="10">L4-H4</f>
        <v>0.98043442885847298</v>
      </c>
      <c r="M10" s="6">
        <f t="shared" ref="M10:M12" si="11">M4-H4</f>
        <v>2.6720752466601283</v>
      </c>
      <c r="N10" s="6">
        <f t="shared" ref="N10:N12" si="12">N4-H4</f>
        <v>4.1436986648202456</v>
      </c>
    </row>
    <row r="11" spans="1:14" ht="15.6" x14ac:dyDescent="0.3">
      <c r="A11" s="4" t="s">
        <v>12</v>
      </c>
      <c r="B11" s="2">
        <v>24.958484848484801</v>
      </c>
      <c r="C11" s="2">
        <v>24.985036277777766</v>
      </c>
      <c r="D11" s="2">
        <v>24.231032000000031</v>
      </c>
      <c r="E11" s="2">
        <v>22.52089483333334</v>
      </c>
      <c r="G11" t="s">
        <v>18</v>
      </c>
      <c r="H11" s="1"/>
      <c r="I11" s="6">
        <f t="shared" si="7"/>
        <v>0.31413119827303149</v>
      </c>
      <c r="J11" s="6">
        <f t="shared" si="8"/>
        <v>0.21484652503528778</v>
      </c>
      <c r="K11" s="6">
        <f t="shared" si="9"/>
        <v>0.10284755311174365</v>
      </c>
      <c r="L11" s="6">
        <f t="shared" si="10"/>
        <v>0.24210178071032828</v>
      </c>
      <c r="M11" s="6">
        <f t="shared" si="11"/>
        <v>0.29122983268166536</v>
      </c>
      <c r="N11" s="6">
        <f t="shared" si="12"/>
        <v>0.24727506266968646</v>
      </c>
    </row>
    <row r="12" spans="1:14" ht="15.6" x14ac:dyDescent="0.3">
      <c r="A12" s="4" t="s">
        <v>13</v>
      </c>
      <c r="B12" s="2">
        <v>18.3604105571848</v>
      </c>
      <c r="C12" s="2">
        <v>17.962635483870955</v>
      </c>
      <c r="D12" s="2">
        <v>16.957719569892461</v>
      </c>
      <c r="E12" s="2">
        <v>16.096700053763463</v>
      </c>
      <c r="G12" t="s">
        <v>19</v>
      </c>
      <c r="H12" s="1"/>
      <c r="I12" s="6">
        <f t="shared" si="7"/>
        <v>-0.23178511366351273</v>
      </c>
      <c r="J12" s="6">
        <f t="shared" si="8"/>
        <v>-1.1824704923970799</v>
      </c>
      <c r="K12" s="6">
        <f t="shared" si="9"/>
        <v>-2.416759719995639</v>
      </c>
      <c r="L12" s="6">
        <f t="shared" si="10"/>
        <v>-0.10312510231345584</v>
      </c>
      <c r="M12" s="6">
        <f t="shared" si="11"/>
        <v>-0.9584801990876457</v>
      </c>
      <c r="N12" s="6">
        <f t="shared" si="12"/>
        <v>-1.439239073042252</v>
      </c>
    </row>
    <row r="13" spans="1:14" ht="15.6" x14ac:dyDescent="0.3">
      <c r="A13" s="4" t="s">
        <v>14</v>
      </c>
      <c r="B13" s="2">
        <v>12.970303030303</v>
      </c>
      <c r="C13" s="2">
        <v>12.64617133333334</v>
      </c>
      <c r="D13" s="2">
        <v>11.553035388888865</v>
      </c>
      <c r="E13" s="2">
        <v>10.421324388888875</v>
      </c>
      <c r="G13" t="s">
        <v>44</v>
      </c>
      <c r="I13" s="2">
        <f>I7-H7</f>
        <v>0.41084509401325064</v>
      </c>
      <c r="J13" s="2">
        <f>J7-H7</f>
        <v>0.60774835038350261</v>
      </c>
      <c r="K13" s="2">
        <f>K7-H7</f>
        <v>0.66946262511820365</v>
      </c>
      <c r="L13" s="2">
        <f>L7-H7</f>
        <v>0.41165852888919119</v>
      </c>
      <c r="M13" s="2">
        <f>M7-H7</f>
        <v>0.75272111713537626</v>
      </c>
      <c r="N13" s="2">
        <f>N7-H7</f>
        <v>1.1119355879730115</v>
      </c>
    </row>
    <row r="14" spans="1:14" ht="15.6" x14ac:dyDescent="0.3">
      <c r="A14" s="4" t="s">
        <v>15</v>
      </c>
      <c r="B14" s="2">
        <v>8.35</v>
      </c>
      <c r="C14" s="2">
        <v>8.4515660752688184</v>
      </c>
      <c r="D14" s="2">
        <v>8.0914692680301297</v>
      </c>
      <c r="E14" s="2">
        <v>7.6443331125827694</v>
      </c>
    </row>
    <row r="15" spans="1:14" x14ac:dyDescent="0.3">
      <c r="A15" s="14" t="s">
        <v>23</v>
      </c>
      <c r="B15" s="14"/>
      <c r="C15" s="14"/>
      <c r="D15" s="14"/>
      <c r="E15" s="14"/>
    </row>
    <row r="16" spans="1:14" x14ac:dyDescent="0.3">
      <c r="B16" s="2" t="s">
        <v>0</v>
      </c>
      <c r="C16" s="2" t="s">
        <v>20</v>
      </c>
      <c r="D16" s="2" t="s">
        <v>21</v>
      </c>
      <c r="E16" s="2" t="s">
        <v>22</v>
      </c>
    </row>
    <row r="17" spans="1:14" ht="15.6" x14ac:dyDescent="0.3">
      <c r="A17" s="4" t="s">
        <v>4</v>
      </c>
      <c r="B17" s="2">
        <v>7.2292258064509998</v>
      </c>
      <c r="C17" s="2">
        <v>7.7401095161290385</v>
      </c>
      <c r="D17" s="2">
        <v>8.3767517741935489</v>
      </c>
      <c r="E17" s="2">
        <v>9.1065378494623683</v>
      </c>
    </row>
    <row r="18" spans="1:14" ht="15.6" x14ac:dyDescent="0.3">
      <c r="A18" s="4" t="s">
        <v>5</v>
      </c>
      <c r="B18" s="2">
        <v>9.8403225806451555</v>
      </c>
      <c r="C18" s="2">
        <v>10.812931014150958</v>
      </c>
      <c r="D18" s="2">
        <v>12.040708962264148</v>
      </c>
      <c r="E18" s="2">
        <v>13.276171874999996</v>
      </c>
    </row>
    <row r="19" spans="1:14" ht="15.6" x14ac:dyDescent="0.3">
      <c r="A19" s="4" t="s">
        <v>6</v>
      </c>
      <c r="B19" s="2">
        <v>14.266862170087979</v>
      </c>
      <c r="C19" s="2">
        <v>14.715228763440845</v>
      </c>
      <c r="D19" s="2">
        <v>16.450644569892486</v>
      </c>
      <c r="E19" s="2">
        <v>18.127016129032274</v>
      </c>
    </row>
    <row r="20" spans="1:14" ht="15.6" x14ac:dyDescent="0.3">
      <c r="A20" s="4" t="s">
        <v>7</v>
      </c>
      <c r="B20" s="2">
        <v>19.351212121212125</v>
      </c>
      <c r="C20" s="2">
        <v>20.335331277777801</v>
      </c>
      <c r="D20" s="2">
        <v>22.584830666666651</v>
      </c>
      <c r="E20" s="2">
        <v>24.663861888888885</v>
      </c>
    </row>
    <row r="21" spans="1:14" ht="15.6" x14ac:dyDescent="0.3">
      <c r="A21" s="4" t="s">
        <v>8</v>
      </c>
      <c r="B21" s="2">
        <v>24.2868914956012</v>
      </c>
      <c r="C21" s="2">
        <v>25.795709032258067</v>
      </c>
      <c r="D21" s="2">
        <v>26.885716290322552</v>
      </c>
      <c r="E21" s="2">
        <v>27.545183763440875</v>
      </c>
    </row>
    <row r="22" spans="1:14" ht="15.6" x14ac:dyDescent="0.3">
      <c r="A22" s="4" t="s">
        <v>9</v>
      </c>
      <c r="B22" s="2">
        <v>27.354848484848482</v>
      </c>
      <c r="C22" s="2">
        <v>27.448636666666683</v>
      </c>
      <c r="D22" s="2">
        <v>27.38376883333336</v>
      </c>
      <c r="E22" s="2">
        <v>26.858306888888869</v>
      </c>
    </row>
    <row r="23" spans="1:14" ht="15.6" x14ac:dyDescent="0.3">
      <c r="A23" s="4" t="s">
        <v>10</v>
      </c>
      <c r="B23" s="2">
        <v>27.070674486803515</v>
      </c>
      <c r="C23" s="2">
        <v>27.073907150537636</v>
      </c>
      <c r="D23" s="2">
        <v>27.255287903225803</v>
      </c>
      <c r="E23" s="2">
        <v>27.625382096774189</v>
      </c>
    </row>
    <row r="24" spans="1:14" ht="15.6" x14ac:dyDescent="0.3">
      <c r="A24" s="4" t="s">
        <v>11</v>
      </c>
      <c r="B24" s="2">
        <v>26.779765395894437</v>
      </c>
      <c r="C24" s="2">
        <v>27.409049892473099</v>
      </c>
      <c r="D24" s="2">
        <v>27.439921129032275</v>
      </c>
      <c r="E24" s="2">
        <v>27.46342456989245</v>
      </c>
    </row>
    <row r="25" spans="1:14" ht="15.6" x14ac:dyDescent="0.3">
      <c r="A25" s="4" t="s">
        <v>12</v>
      </c>
      <c r="B25" s="2">
        <v>24.958484848484801</v>
      </c>
      <c r="C25" s="2">
        <v>25.00586733333331</v>
      </c>
      <c r="D25" s="2">
        <v>24.247708777777795</v>
      </c>
      <c r="E25" s="2">
        <v>23.967923499999962</v>
      </c>
    </row>
    <row r="26" spans="1:14" ht="15.6" x14ac:dyDescent="0.3">
      <c r="A26" s="4" t="s">
        <v>13</v>
      </c>
      <c r="B26" s="2">
        <v>18.3604105571848</v>
      </c>
      <c r="C26" s="2">
        <v>18.268084462365586</v>
      </c>
      <c r="D26" s="2">
        <v>17.42141983870966</v>
      </c>
      <c r="E26" s="2">
        <v>17.133735161290321</v>
      </c>
    </row>
    <row r="27" spans="1:14" ht="15.6" x14ac:dyDescent="0.3">
      <c r="A27" s="4" t="s">
        <v>14</v>
      </c>
      <c r="B27" s="2">
        <v>12.970303030303</v>
      </c>
      <c r="C27" s="2">
        <v>12.705871333333338</v>
      </c>
      <c r="D27" s="2">
        <v>11.744629222222203</v>
      </c>
      <c r="E27" s="2">
        <v>10.869822555555553</v>
      </c>
    </row>
    <row r="28" spans="1:14" ht="15.6" x14ac:dyDescent="0.3">
      <c r="A28" s="4" t="s">
        <v>15</v>
      </c>
      <c r="B28" s="2">
        <v>8.35</v>
      </c>
      <c r="C28" s="2">
        <v>8.4481768817204337</v>
      </c>
      <c r="D28" s="2">
        <v>8.0202664155005383</v>
      </c>
      <c r="E28" s="2">
        <v>7.5248617549668761</v>
      </c>
    </row>
    <row r="30" spans="1:14" x14ac:dyDescent="0.3">
      <c r="A30" s="14" t="s">
        <v>33</v>
      </c>
      <c r="B30" s="14"/>
      <c r="C30" s="14"/>
      <c r="D30" s="14"/>
      <c r="E30" s="14"/>
      <c r="G30" s="14" t="s">
        <v>27</v>
      </c>
      <c r="H30" s="14"/>
      <c r="I30" s="14"/>
      <c r="J30" s="14"/>
      <c r="K30" s="14"/>
      <c r="L30" s="14"/>
      <c r="M30" s="14"/>
      <c r="N30" s="14"/>
    </row>
    <row r="31" spans="1:14" x14ac:dyDescent="0.3">
      <c r="B31" t="s">
        <v>0</v>
      </c>
      <c r="C31" t="s">
        <v>1</v>
      </c>
      <c r="D31" t="s">
        <v>2</v>
      </c>
      <c r="E31" t="s">
        <v>3</v>
      </c>
      <c r="H31" s="1" t="s">
        <v>0</v>
      </c>
      <c r="I31" s="1" t="s">
        <v>1</v>
      </c>
      <c r="J31" s="1" t="s">
        <v>2</v>
      </c>
      <c r="K31" s="1" t="s">
        <v>3</v>
      </c>
      <c r="L31" s="1" t="s">
        <v>20</v>
      </c>
      <c r="M31" s="1" t="s">
        <v>21</v>
      </c>
      <c r="N31" s="1" t="s">
        <v>22</v>
      </c>
    </row>
    <row r="32" spans="1:14" ht="15.6" x14ac:dyDescent="0.3">
      <c r="A32" s="4" t="s">
        <v>4</v>
      </c>
      <c r="B32" s="2">
        <v>4.91</v>
      </c>
      <c r="C32" s="2">
        <v>6.02</v>
      </c>
      <c r="D32" s="2">
        <v>6.29</v>
      </c>
      <c r="E32" s="2">
        <v>6.77</v>
      </c>
      <c r="G32" t="s">
        <v>16</v>
      </c>
      <c r="H32" s="2">
        <f>(B43+B32+B33)/3</f>
        <v>6.163333333333334</v>
      </c>
      <c r="I32" s="2">
        <f t="shared" ref="I32" si="13">(C43+C32+C33)/3</f>
        <v>6.9666666666666659</v>
      </c>
      <c r="J32" s="2">
        <f t="shared" ref="J32" si="14">(D43+D32+D33)/3</f>
        <v>7.3900000000000006</v>
      </c>
      <c r="K32" s="2">
        <f t="shared" ref="K32" si="15">(E43+E32+E33)/3</f>
        <v>7.913333333333334</v>
      </c>
      <c r="L32" s="2">
        <f>(C57+C46+C47)/3</f>
        <v>6.996335254488744</v>
      </c>
      <c r="M32" s="2">
        <f>(D57+D46+D47)/3</f>
        <v>7.5466231123668512</v>
      </c>
      <c r="N32" s="2">
        <f>(E57+E46+E47)/3</f>
        <v>8.2131992010027517</v>
      </c>
    </row>
    <row r="33" spans="1:14" ht="15.6" x14ac:dyDescent="0.3">
      <c r="A33" s="4" t="s">
        <v>5</v>
      </c>
      <c r="B33" s="2">
        <v>7.42</v>
      </c>
      <c r="C33" s="2">
        <v>8.2799999999999994</v>
      </c>
      <c r="D33" s="2">
        <v>9.6</v>
      </c>
      <c r="E33" s="2">
        <v>10.92</v>
      </c>
      <c r="G33" t="s">
        <v>17</v>
      </c>
      <c r="H33" s="2">
        <f>(B34+B35+B36)/3</f>
        <v>17.673333333333336</v>
      </c>
      <c r="I33" s="2">
        <f t="shared" ref="I33" si="16">(C34+C35+C36)/3</f>
        <v>18.38</v>
      </c>
      <c r="J33" s="2">
        <f t="shared" ref="J33" si="17">(D34+D35+D36)/3</f>
        <v>19.799999999999997</v>
      </c>
      <c r="K33" s="2">
        <f t="shared" ref="K33" si="18">(E34+E35+E36)/3</f>
        <v>21.026666666666667</v>
      </c>
      <c r="L33" s="2">
        <f>(C48+C49+C50)/3</f>
        <v>18.323025175627237</v>
      </c>
      <c r="M33" s="2">
        <f t="shared" ref="M33" si="19">(D48+D49+D50)/3</f>
        <v>19.991725654719222</v>
      </c>
      <c r="N33" s="2">
        <f t="shared" ref="N33" si="20">(E48+E49+E50)/3</f>
        <v>21.481277637395451</v>
      </c>
    </row>
    <row r="34" spans="1:14" ht="15.6" x14ac:dyDescent="0.3">
      <c r="A34" s="4" t="s">
        <v>6</v>
      </c>
      <c r="B34" s="2">
        <v>12.32</v>
      </c>
      <c r="C34" s="2">
        <v>12.91</v>
      </c>
      <c r="D34" s="2">
        <v>14.43</v>
      </c>
      <c r="E34" s="2">
        <v>15.72</v>
      </c>
      <c r="G34" t="s">
        <v>18</v>
      </c>
      <c r="H34" s="2">
        <f>(B37+B38+B39)/3</f>
        <v>26.919999999999998</v>
      </c>
      <c r="I34" s="2">
        <f t="shared" ref="I34" si="21">(C37+C38+C39)/3</f>
        <v>26.833333333333332</v>
      </c>
      <c r="J34" s="2">
        <f t="shared" ref="J34" si="22">(D37+D38+D39)/3</f>
        <v>26.816666666666663</v>
      </c>
      <c r="K34" s="2">
        <f t="shared" ref="K34" si="23">(E37+E38+E39)/3</f>
        <v>26.669999999999998</v>
      </c>
      <c r="L34" s="2">
        <f>(C51+C52+C53)/3</f>
        <v>26.948434701314223</v>
      </c>
      <c r="M34" s="2">
        <f t="shared" ref="M34" si="24">(D51+D52+D53)/3</f>
        <v>26.855266493428903</v>
      </c>
      <c r="N34" s="2">
        <f t="shared" ref="N34" si="25">(E51+E52+E53)/3</f>
        <v>26.937273495818374</v>
      </c>
    </row>
    <row r="35" spans="1:14" ht="15.6" x14ac:dyDescent="0.3">
      <c r="A35" s="4" t="s">
        <v>7</v>
      </c>
      <c r="B35" s="2">
        <v>17.440000000000001</v>
      </c>
      <c r="C35" s="2">
        <v>18.54</v>
      </c>
      <c r="D35" s="2">
        <v>20.23</v>
      </c>
      <c r="E35" s="2">
        <v>21.74</v>
      </c>
      <c r="G35" t="s">
        <v>19</v>
      </c>
      <c r="H35" s="2">
        <f>(B40+B41+B42)/3</f>
        <v>17.936666666666667</v>
      </c>
      <c r="I35" s="2">
        <f t="shared" ref="I35" si="26">(C40+C41+C42)/3</f>
        <v>17.703333333333333</v>
      </c>
      <c r="J35" s="2">
        <f t="shared" ref="J35" si="27">(D40+D41+D42)/3</f>
        <v>16.606666666666666</v>
      </c>
      <c r="K35" s="2">
        <f t="shared" ref="K35" si="28">(E40+E41+E42)/3</f>
        <v>15.413333333333334</v>
      </c>
      <c r="L35" s="2">
        <f>(C54+C55+C56)/3</f>
        <v>17.842547400238946</v>
      </c>
      <c r="M35" s="2">
        <f>(D54+D55+D56)/3</f>
        <v>17.023810826762229</v>
      </c>
      <c r="N35" s="2">
        <f>(E54+E55+E56)/3</f>
        <v>16.46719335543607</v>
      </c>
    </row>
    <row r="36" spans="1:14" ht="15.6" x14ac:dyDescent="0.3">
      <c r="A36" s="4" t="s">
        <v>8</v>
      </c>
      <c r="B36" s="2">
        <v>23.26</v>
      </c>
      <c r="C36" s="2">
        <v>23.69</v>
      </c>
      <c r="D36" s="2">
        <v>24.74</v>
      </c>
      <c r="E36" s="2">
        <v>25.62</v>
      </c>
      <c r="G36" s="12" t="s">
        <v>26</v>
      </c>
      <c r="H36" s="6">
        <f>SUM(H32:H35)/4</f>
        <v>17.173333333333332</v>
      </c>
      <c r="I36" s="6">
        <f t="shared" ref="I36:N36" si="29">SUM(I32:I35)/4</f>
        <v>17.470833333333331</v>
      </c>
      <c r="J36" s="6">
        <f t="shared" si="29"/>
        <v>17.653333333333332</v>
      </c>
      <c r="K36" s="6">
        <f t="shared" si="29"/>
        <v>17.755833333333335</v>
      </c>
      <c r="L36" s="6">
        <f t="shared" si="29"/>
        <v>17.527585632917287</v>
      </c>
      <c r="M36" s="6">
        <f t="shared" si="29"/>
        <v>17.854356521819302</v>
      </c>
      <c r="N36" s="6">
        <f t="shared" si="29"/>
        <v>18.274735922413161</v>
      </c>
    </row>
    <row r="37" spans="1:14" ht="15.6" x14ac:dyDescent="0.3">
      <c r="A37" s="4" t="s">
        <v>9</v>
      </c>
      <c r="B37" s="2">
        <v>26.74</v>
      </c>
      <c r="C37" s="2">
        <v>26.74</v>
      </c>
      <c r="D37" s="2">
        <v>26.97</v>
      </c>
      <c r="E37" s="2">
        <v>27.2</v>
      </c>
      <c r="H37" s="1" t="s">
        <v>0</v>
      </c>
      <c r="I37" s="1" t="s">
        <v>1</v>
      </c>
      <c r="J37" s="1" t="s">
        <v>2</v>
      </c>
      <c r="K37" s="1" t="s">
        <v>3</v>
      </c>
      <c r="L37" s="1" t="s">
        <v>20</v>
      </c>
      <c r="M37" s="1" t="s">
        <v>21</v>
      </c>
      <c r="N37" s="1" t="s">
        <v>22</v>
      </c>
    </row>
    <row r="38" spans="1:14" ht="15.6" x14ac:dyDescent="0.3">
      <c r="A38" s="4" t="s">
        <v>10</v>
      </c>
      <c r="B38" s="2">
        <v>27.2</v>
      </c>
      <c r="C38" s="2">
        <v>27.27</v>
      </c>
      <c r="D38" s="2">
        <v>27.13</v>
      </c>
      <c r="E38" s="2">
        <v>27.1</v>
      </c>
      <c r="G38" t="s">
        <v>16</v>
      </c>
      <c r="H38" s="1"/>
      <c r="I38" s="6">
        <f>I32-H32</f>
        <v>0.8033333333333319</v>
      </c>
      <c r="J38" s="6">
        <f>J32-H32</f>
        <v>1.2266666666666666</v>
      </c>
      <c r="K38" s="6">
        <f>K32-H32</f>
        <v>1.75</v>
      </c>
      <c r="L38" s="6">
        <f>L32-H32</f>
        <v>0.83300192115541005</v>
      </c>
      <c r="M38" s="6">
        <f>M32-H32</f>
        <v>1.3832897790335172</v>
      </c>
      <c r="N38" s="6">
        <f>N32-H32</f>
        <v>2.0498658676694177</v>
      </c>
    </row>
    <row r="39" spans="1:14" ht="15.6" x14ac:dyDescent="0.3">
      <c r="A39" s="4" t="s">
        <v>11</v>
      </c>
      <c r="B39" s="2">
        <v>26.82</v>
      </c>
      <c r="C39" s="2">
        <v>26.49</v>
      </c>
      <c r="D39" s="2">
        <v>26.35</v>
      </c>
      <c r="E39" s="2">
        <v>25.71</v>
      </c>
      <c r="G39" t="s">
        <v>17</v>
      </c>
      <c r="H39" s="1"/>
      <c r="I39" s="6">
        <f t="shared" ref="I39:I41" si="30">I33-H33</f>
        <v>0.70666666666666345</v>
      </c>
      <c r="J39" s="6">
        <f t="shared" ref="J39:J41" si="31">J33-H33</f>
        <v>2.1266666666666616</v>
      </c>
      <c r="K39" s="6">
        <f t="shared" ref="K39:K41" si="32">K33-H33</f>
        <v>3.3533333333333317</v>
      </c>
      <c r="L39" s="6">
        <f t="shared" ref="L39:L41" si="33">L33-H33</f>
        <v>0.64969184229390109</v>
      </c>
      <c r="M39" s="6">
        <f t="shared" ref="M39:M41" si="34">M33-H33</f>
        <v>2.3183923213858861</v>
      </c>
      <c r="N39" s="6">
        <f t="shared" ref="N39:N41" si="35">N33-H33</f>
        <v>3.807944304062115</v>
      </c>
    </row>
    <row r="40" spans="1:14" ht="15.6" x14ac:dyDescent="0.3">
      <c r="A40" s="4" t="s">
        <v>12</v>
      </c>
      <c r="B40" s="2">
        <v>24.02</v>
      </c>
      <c r="C40" s="2">
        <v>23.75</v>
      </c>
      <c r="D40" s="2">
        <v>23.03</v>
      </c>
      <c r="E40" s="2">
        <v>21.37</v>
      </c>
      <c r="G40" t="s">
        <v>18</v>
      </c>
      <c r="H40" s="1"/>
      <c r="I40" s="6">
        <f t="shared" si="30"/>
        <v>-8.6666666666666003E-2</v>
      </c>
      <c r="J40" s="6">
        <f t="shared" si="31"/>
        <v>-0.10333333333333528</v>
      </c>
      <c r="K40" s="6">
        <f t="shared" si="32"/>
        <v>-0.25</v>
      </c>
      <c r="L40" s="6">
        <f t="shared" si="33"/>
        <v>2.8434701314225208E-2</v>
      </c>
      <c r="M40" s="6">
        <f t="shared" si="34"/>
        <v>-6.4733506571094779E-2</v>
      </c>
      <c r="N40" s="6">
        <f t="shared" si="35"/>
        <v>1.7273495818376006E-2</v>
      </c>
    </row>
    <row r="41" spans="1:14" ht="15.6" x14ac:dyDescent="0.3">
      <c r="A41" s="4" t="s">
        <v>13</v>
      </c>
      <c r="B41" s="2">
        <v>17.05</v>
      </c>
      <c r="C41" s="2">
        <v>16.89</v>
      </c>
      <c r="D41" s="2">
        <v>16.13</v>
      </c>
      <c r="E41" s="2">
        <v>15.76</v>
      </c>
      <c r="G41" t="s">
        <v>19</v>
      </c>
      <c r="H41" s="1"/>
      <c r="I41" s="6">
        <f t="shared" si="30"/>
        <v>-0.23333333333333428</v>
      </c>
      <c r="J41" s="6">
        <f t="shared" si="31"/>
        <v>-1.3300000000000018</v>
      </c>
      <c r="K41" s="6">
        <f t="shared" si="32"/>
        <v>-2.5233333333333334</v>
      </c>
      <c r="L41" s="6">
        <f t="shared" si="33"/>
        <v>-9.4119266427721726E-2</v>
      </c>
      <c r="M41" s="6">
        <f t="shared" si="34"/>
        <v>-0.91285583990443797</v>
      </c>
      <c r="N41" s="6">
        <f t="shared" si="35"/>
        <v>-1.4694733112305975</v>
      </c>
    </row>
    <row r="42" spans="1:14" ht="15.6" x14ac:dyDescent="0.3">
      <c r="A42" s="4" t="s">
        <v>14</v>
      </c>
      <c r="B42" s="2">
        <v>12.74</v>
      </c>
      <c r="C42" s="2">
        <v>12.47</v>
      </c>
      <c r="D42" s="2">
        <v>10.66</v>
      </c>
      <c r="E42" s="2">
        <v>9.11</v>
      </c>
      <c r="G42" t="s">
        <v>44</v>
      </c>
      <c r="I42" s="2">
        <f>I36-H36</f>
        <v>0.29749999999999943</v>
      </c>
      <c r="J42" s="2">
        <f>J36-H36</f>
        <v>0.48000000000000043</v>
      </c>
      <c r="K42" s="2">
        <f>K36-H36</f>
        <v>0.58250000000000313</v>
      </c>
      <c r="L42" s="2">
        <f>L36-H36</f>
        <v>0.35425229958395477</v>
      </c>
      <c r="M42" s="2">
        <f>M36-H36</f>
        <v>0.68102318848596965</v>
      </c>
      <c r="N42" s="2">
        <f>N36-H36</f>
        <v>1.1014025890798287</v>
      </c>
    </row>
    <row r="43" spans="1:14" ht="15.6" x14ac:dyDescent="0.3">
      <c r="A43" s="4" t="s">
        <v>15</v>
      </c>
      <c r="B43" s="2">
        <v>6.16</v>
      </c>
      <c r="C43" s="2">
        <v>6.6</v>
      </c>
      <c r="D43" s="2">
        <v>6.28</v>
      </c>
      <c r="E43" s="2">
        <v>6.05</v>
      </c>
      <c r="I43" s="2"/>
      <c r="J43" s="2"/>
      <c r="K43" s="2"/>
      <c r="L43" s="2"/>
      <c r="M43" s="2"/>
      <c r="N43" s="2"/>
    </row>
    <row r="44" spans="1:14" x14ac:dyDescent="0.3">
      <c r="A44" s="14" t="s">
        <v>34</v>
      </c>
      <c r="B44" s="14"/>
      <c r="C44" s="14"/>
      <c r="D44" s="14"/>
      <c r="E44" s="14"/>
    </row>
    <row r="45" spans="1:14" x14ac:dyDescent="0.3">
      <c r="B45" s="2" t="s">
        <v>0</v>
      </c>
      <c r="C45" s="2" t="s">
        <v>20</v>
      </c>
      <c r="D45" s="2" t="s">
        <v>21</v>
      </c>
      <c r="E45" s="2" t="s">
        <v>22</v>
      </c>
    </row>
    <row r="46" spans="1:14" ht="15.6" x14ac:dyDescent="0.3">
      <c r="A46" s="4" t="s">
        <v>4</v>
      </c>
      <c r="B46" s="2">
        <v>4.9134900000000004</v>
      </c>
      <c r="C46" s="2">
        <v>5.9799769892473194</v>
      </c>
      <c r="D46" s="2">
        <v>6.4601769892473131</v>
      </c>
      <c r="E46" s="2">
        <v>7.0777316666666747</v>
      </c>
    </row>
    <row r="47" spans="1:14" ht="15.6" x14ac:dyDescent="0.3">
      <c r="A47" s="4" t="s">
        <v>5</v>
      </c>
      <c r="B47" s="2">
        <v>7.4187099999999999</v>
      </c>
      <c r="C47" s="2">
        <v>8.4069696344339597</v>
      </c>
      <c r="D47" s="2">
        <v>9.8531628537735791</v>
      </c>
      <c r="E47" s="2">
        <v>11.432742040094345</v>
      </c>
    </row>
    <row r="48" spans="1:14" ht="15.6" x14ac:dyDescent="0.3">
      <c r="A48" s="4" t="s">
        <v>6</v>
      </c>
      <c r="B48" s="2">
        <v>12.321999999999999</v>
      </c>
      <c r="C48" s="2">
        <v>12.805546666666665</v>
      </c>
      <c r="D48" s="2">
        <v>14.629160107526891</v>
      </c>
      <c r="E48" s="2">
        <v>16.3535206451613</v>
      </c>
    </row>
    <row r="49" spans="1:14" ht="15.6" x14ac:dyDescent="0.3">
      <c r="A49" s="4" t="s">
        <v>7</v>
      </c>
      <c r="B49" s="2">
        <v>17.4361</v>
      </c>
      <c r="C49" s="2">
        <v>18.413926333333329</v>
      </c>
      <c r="D49" s="2">
        <v>20.455257555555544</v>
      </c>
      <c r="E49" s="2">
        <v>22.21938694444443</v>
      </c>
    </row>
    <row r="50" spans="1:14" ht="15.6" x14ac:dyDescent="0.3">
      <c r="A50" s="4" t="s">
        <v>8</v>
      </c>
      <c r="B50" s="2">
        <v>23.258099999999999</v>
      </c>
      <c r="C50" s="2">
        <v>23.749602526881713</v>
      </c>
      <c r="D50" s="2">
        <v>24.890759301075235</v>
      </c>
      <c r="E50" s="2">
        <v>25.870925322580618</v>
      </c>
    </row>
    <row r="51" spans="1:14" ht="15.6" x14ac:dyDescent="0.3">
      <c r="A51" s="4" t="s">
        <v>9</v>
      </c>
      <c r="B51" s="2">
        <v>26.7364</v>
      </c>
      <c r="C51" s="2">
        <v>26.785917222222221</v>
      </c>
      <c r="D51" s="2">
        <v>27.074338888888889</v>
      </c>
      <c r="E51" s="2">
        <v>27.224723444444447</v>
      </c>
    </row>
    <row r="52" spans="1:14" ht="15.6" x14ac:dyDescent="0.3">
      <c r="A52" s="4" t="s">
        <v>10</v>
      </c>
      <c r="B52" s="2">
        <v>27.200900000000001</v>
      </c>
      <c r="C52" s="2">
        <v>27.339073763440883</v>
      </c>
      <c r="D52" s="2">
        <v>27.203365483870947</v>
      </c>
      <c r="E52" s="2">
        <v>27.342209677419302</v>
      </c>
    </row>
    <row r="53" spans="1:14" ht="15.6" x14ac:dyDescent="0.3">
      <c r="A53" s="4" t="s">
        <v>11</v>
      </c>
      <c r="B53" s="2">
        <v>26.821400000000001</v>
      </c>
      <c r="C53" s="2">
        <v>26.720313118279563</v>
      </c>
      <c r="D53" s="2">
        <v>26.288095107526875</v>
      </c>
      <c r="E53" s="2">
        <v>26.244887365591381</v>
      </c>
    </row>
    <row r="54" spans="1:14" ht="15.6" x14ac:dyDescent="0.3">
      <c r="A54" s="4" t="s">
        <v>12</v>
      </c>
      <c r="B54" s="2">
        <v>24.018799999999999</v>
      </c>
      <c r="C54" s="2">
        <v>23.726295222222213</v>
      </c>
      <c r="D54" s="2">
        <v>23.072993055555528</v>
      </c>
      <c r="E54" s="2">
        <v>22.878294388888861</v>
      </c>
    </row>
    <row r="55" spans="1:14" ht="15.6" x14ac:dyDescent="0.3">
      <c r="A55" s="4" t="s">
        <v>13</v>
      </c>
      <c r="B55" s="2">
        <v>17.046299999999999</v>
      </c>
      <c r="C55" s="2">
        <v>17.224915645161293</v>
      </c>
      <c r="D55" s="2">
        <v>16.95381892473117</v>
      </c>
      <c r="E55" s="2">
        <v>16.91663301075269</v>
      </c>
    </row>
    <row r="56" spans="1:14" ht="15.6" x14ac:dyDescent="0.3">
      <c r="A56" s="4" t="s">
        <v>14</v>
      </c>
      <c r="B56" s="2">
        <v>12.735200000000001</v>
      </c>
      <c r="C56" s="2">
        <v>12.57643133333333</v>
      </c>
      <c r="D56" s="2">
        <v>11.044620499999997</v>
      </c>
      <c r="E56" s="2">
        <v>9.6066526666666547</v>
      </c>
    </row>
    <row r="57" spans="1:14" ht="15.6" x14ac:dyDescent="0.3">
      <c r="A57" s="4" t="s">
        <v>15</v>
      </c>
      <c r="B57" s="2">
        <v>6.1622599999999998</v>
      </c>
      <c r="C57" s="2">
        <v>6.6020591397849504</v>
      </c>
      <c r="D57" s="2">
        <v>6.3265294940796615</v>
      </c>
      <c r="E57" s="2">
        <v>6.1291238962472372</v>
      </c>
    </row>
    <row r="59" spans="1:14" x14ac:dyDescent="0.3">
      <c r="A59" s="14" t="s">
        <v>45</v>
      </c>
      <c r="B59" s="14"/>
      <c r="C59" s="14"/>
      <c r="D59" s="14"/>
      <c r="E59" s="14"/>
      <c r="G59" s="14" t="s">
        <v>27</v>
      </c>
      <c r="H59" s="14"/>
      <c r="I59" s="14"/>
      <c r="J59" s="14"/>
      <c r="K59" s="14"/>
      <c r="L59" s="14"/>
      <c r="M59" s="14"/>
      <c r="N59" s="14"/>
    </row>
    <row r="60" spans="1:14" x14ac:dyDescent="0.3">
      <c r="B60" t="s">
        <v>0</v>
      </c>
      <c r="C60" t="s">
        <v>1</v>
      </c>
      <c r="D60" t="s">
        <v>2</v>
      </c>
      <c r="E60" t="s">
        <v>3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20</v>
      </c>
      <c r="M60" s="1" t="s">
        <v>21</v>
      </c>
      <c r="N60" s="1" t="s">
        <v>22</v>
      </c>
    </row>
    <row r="61" spans="1:14" ht="15.6" x14ac:dyDescent="0.3">
      <c r="A61" s="4" t="s">
        <v>4</v>
      </c>
      <c r="B61" s="2">
        <v>5.9739454094292732</v>
      </c>
      <c r="C61" s="2">
        <v>5.7903200000000004</v>
      </c>
      <c r="D61" s="2">
        <v>6.5585429569892399</v>
      </c>
      <c r="E61" s="2">
        <v>6.3958798924731139</v>
      </c>
      <c r="G61" t="s">
        <v>16</v>
      </c>
      <c r="H61" s="2">
        <f>(B72+B61+B62)/3</f>
        <v>7.5558368999082646</v>
      </c>
      <c r="I61" s="2">
        <f t="shared" ref="I61" si="36">(C72+C61+C62)/3</f>
        <v>7.537233333333333</v>
      </c>
      <c r="J61" s="2">
        <f t="shared" ref="J61" si="37">(D72+D61+D62)/3</f>
        <v>8.3972950019474126</v>
      </c>
      <c r="K61" s="2">
        <f t="shared" ref="K61" si="38">(E72+E61+E62)/3</f>
        <v>8.5294138751042965</v>
      </c>
      <c r="L61" s="2">
        <f>(C86+C75+C76)/3</f>
        <v>8.0197106879353459</v>
      </c>
      <c r="M61" s="2">
        <f>(D86+D75+D76)/3</f>
        <v>8.3585655416730145</v>
      </c>
      <c r="N61" s="2">
        <f>(E86+E75+E76)/3</f>
        <v>8.6579036060500076</v>
      </c>
    </row>
    <row r="62" spans="1:14" ht="15.6" x14ac:dyDescent="0.3">
      <c r="A62" s="4" t="s">
        <v>5</v>
      </c>
      <c r="B62" s="2">
        <v>9.2474114441416795</v>
      </c>
      <c r="C62" s="2">
        <v>9.1936400000000003</v>
      </c>
      <c r="D62" s="2">
        <v>9.3430162146226277</v>
      </c>
      <c r="E62" s="2">
        <v>9.7971272405660361</v>
      </c>
      <c r="G62" t="s">
        <v>17</v>
      </c>
      <c r="H62" s="2">
        <f>(B63+B64+B65)/3</f>
        <v>20.159757375241245</v>
      </c>
      <c r="I62" s="2">
        <f t="shared" ref="I62" si="39">(C63+C64+C65)/3</f>
        <v>20.135166666666667</v>
      </c>
      <c r="J62" s="2">
        <f t="shared" ref="J62" si="40">(D63+D64+D65)/3</f>
        <v>20.361152627240138</v>
      </c>
      <c r="K62" s="2">
        <f t="shared" ref="K62" si="41">(E63+E64+E65)/3</f>
        <v>20.607153758064523</v>
      </c>
      <c r="L62" s="2">
        <f>(C77+C78+C79)/3</f>
        <v>19.88623284408602</v>
      </c>
      <c r="M62" s="2">
        <f t="shared" ref="M62" si="42">(D77+D78+D79)/3</f>
        <v>20.557396870967722</v>
      </c>
      <c r="N62" s="2">
        <f t="shared" ref="N62" si="43">(E77+E78+E79)/3</f>
        <v>21.189980088411001</v>
      </c>
    </row>
    <row r="63" spans="1:14" ht="15.6" x14ac:dyDescent="0.3">
      <c r="A63" s="4" t="s">
        <v>6</v>
      </c>
      <c r="B63" s="2">
        <v>14.872208436724554</v>
      </c>
      <c r="C63" s="2">
        <v>14.889699999999999</v>
      </c>
      <c r="D63" s="2">
        <v>15.636095483870966</v>
      </c>
      <c r="E63" s="2">
        <v>15.973569516129029</v>
      </c>
      <c r="G63" t="s">
        <v>18</v>
      </c>
      <c r="H63" s="2">
        <f>(B66+B67+B68)/3</f>
        <v>27.430890543148632</v>
      </c>
      <c r="I63" s="2">
        <f t="shared" ref="I63" si="44">(C66+C67+C68)/3</f>
        <v>27.359233333333336</v>
      </c>
      <c r="J63" s="2">
        <f t="shared" ref="J63" si="45">(D66+D67+D68)/3</f>
        <v>27.829621514336932</v>
      </c>
      <c r="K63" s="2">
        <f t="shared" ref="K63" si="46">(E66+E67+E68)/3</f>
        <v>27.79868913560334</v>
      </c>
      <c r="L63" s="2">
        <f>(C80+C81+C82)/3</f>
        <v>27.747367537037025</v>
      </c>
      <c r="M63" s="2">
        <f t="shared" ref="M63" si="47">(D80+D81+D82)/3</f>
        <v>27.888026835125441</v>
      </c>
      <c r="N63" s="2">
        <f t="shared" ref="N63" si="48">(E80+E81+E82)/3</f>
        <v>28.200264560334542</v>
      </c>
    </row>
    <row r="64" spans="1:14" ht="15.6" x14ac:dyDescent="0.3">
      <c r="A64" s="4" t="s">
        <v>7</v>
      </c>
      <c r="B64" s="2">
        <v>20.426666666666662</v>
      </c>
      <c r="C64" s="2">
        <v>20.299700000000001</v>
      </c>
      <c r="D64" s="2">
        <v>20.982184333333326</v>
      </c>
      <c r="E64" s="2">
        <v>21.413686166666665</v>
      </c>
      <c r="G64" t="s">
        <v>19</v>
      </c>
      <c r="H64" s="2">
        <f>(B69+B70+B71)/3</f>
        <v>19.384830438378824</v>
      </c>
      <c r="I64" s="2">
        <f t="shared" ref="I64" si="49">(C69+C70+C71)/3</f>
        <v>19.378233333333331</v>
      </c>
      <c r="J64" s="2">
        <f t="shared" ref="J64" si="50">(D69+D70+D71)/3</f>
        <v>19.493292893667846</v>
      </c>
      <c r="K64" s="2">
        <f t="shared" ref="K64" si="51">(E69+E70+E71)/3</f>
        <v>19.436549061529277</v>
      </c>
      <c r="L64" s="2">
        <f>(C83+C84+C85)/3</f>
        <v>19.855885940860219</v>
      </c>
      <c r="M64" s="2">
        <f>(D83+D84+D85)/3</f>
        <v>19.814755986260462</v>
      </c>
      <c r="N64" s="2">
        <f>(E83+E84+E85)/3</f>
        <v>20.258418438470713</v>
      </c>
    </row>
    <row r="65" spans="1:14" ht="15.6" x14ac:dyDescent="0.3">
      <c r="A65" s="4" t="s">
        <v>8</v>
      </c>
      <c r="B65" s="2">
        <v>25.180397022332517</v>
      </c>
      <c r="C65" s="2">
        <v>25.216100000000001</v>
      </c>
      <c r="D65" s="2">
        <v>24.465178064516124</v>
      </c>
      <c r="E65" s="2">
        <v>24.434205591397866</v>
      </c>
      <c r="G65" s="12" t="s">
        <v>26</v>
      </c>
      <c r="H65" s="6">
        <f>SUM(H61:H64)/4</f>
        <v>18.63282881416924</v>
      </c>
      <c r="I65" s="6">
        <f t="shared" ref="I65:N65" si="52">SUM(I61:I64)/4</f>
        <v>18.602466666666665</v>
      </c>
      <c r="J65" s="6">
        <f t="shared" si="52"/>
        <v>19.02034050929808</v>
      </c>
      <c r="K65" s="6">
        <f t="shared" si="52"/>
        <v>19.09295145757536</v>
      </c>
      <c r="L65" s="6">
        <f t="shared" si="52"/>
        <v>18.877299252479652</v>
      </c>
      <c r="M65" s="6">
        <f t="shared" si="52"/>
        <v>19.154686308506662</v>
      </c>
      <c r="N65" s="6">
        <f t="shared" si="52"/>
        <v>19.576641673316566</v>
      </c>
    </row>
    <row r="66" spans="1:14" ht="15.6" x14ac:dyDescent="0.3">
      <c r="A66" s="4" t="s">
        <v>9</v>
      </c>
      <c r="B66" s="2">
        <v>27.557435897435916</v>
      </c>
      <c r="C66" s="2">
        <v>27.556699999999999</v>
      </c>
      <c r="D66" s="2">
        <v>29.919985833333342</v>
      </c>
      <c r="E66" s="2">
        <v>29.95789294444441</v>
      </c>
      <c r="H66" s="1" t="s">
        <v>0</v>
      </c>
      <c r="I66" s="1" t="s">
        <v>1</v>
      </c>
      <c r="J66" s="1" t="s">
        <v>2</v>
      </c>
      <c r="K66" s="1" t="s">
        <v>3</v>
      </c>
      <c r="L66" s="1" t="s">
        <v>20</v>
      </c>
      <c r="M66" s="1" t="s">
        <v>21</v>
      </c>
      <c r="N66" s="1" t="s">
        <v>22</v>
      </c>
    </row>
    <row r="67" spans="1:14" ht="15.6" x14ac:dyDescent="0.3">
      <c r="A67" s="4" t="s">
        <v>10</v>
      </c>
      <c r="B67" s="2">
        <v>27.447890818858582</v>
      </c>
      <c r="C67" s="2">
        <v>27.472899999999999</v>
      </c>
      <c r="D67" s="2">
        <v>27.154570537634381</v>
      </c>
      <c r="E67" s="2">
        <v>27.21032709677419</v>
      </c>
      <c r="G67" t="s">
        <v>16</v>
      </c>
      <c r="H67" s="1"/>
      <c r="I67" s="6">
        <f>I61-H61</f>
        <v>-1.8603566574931563E-2</v>
      </c>
      <c r="J67" s="6">
        <f>J61-H61</f>
        <v>0.84145810203914806</v>
      </c>
      <c r="K67" s="6">
        <f>K61-H61</f>
        <v>0.97357697519603192</v>
      </c>
      <c r="L67" s="6">
        <f>L61-H61</f>
        <v>0.46387378802708135</v>
      </c>
      <c r="M67" s="6">
        <f>M61-H61</f>
        <v>0.8027286417647499</v>
      </c>
      <c r="N67" s="6">
        <f>N61-H61</f>
        <v>1.1020667061417431</v>
      </c>
    </row>
    <row r="68" spans="1:14" ht="15.6" x14ac:dyDescent="0.3">
      <c r="A68" s="4" t="s">
        <v>11</v>
      </c>
      <c r="B68" s="2">
        <v>27.287344913151387</v>
      </c>
      <c r="C68" s="2">
        <v>27.048100000000002</v>
      </c>
      <c r="D68" s="2">
        <v>26.414308172043064</v>
      </c>
      <c r="E68" s="2">
        <v>26.227847365591412</v>
      </c>
      <c r="G68" t="s">
        <v>17</v>
      </c>
      <c r="H68" s="1"/>
      <c r="I68" s="6">
        <f t="shared" ref="I68:I70" si="53">I62-H62</f>
        <v>-2.4590708574578457E-2</v>
      </c>
      <c r="J68" s="6">
        <f t="shared" ref="J68:J70" si="54">J62-H62</f>
        <v>0.20139525199889263</v>
      </c>
      <c r="K68" s="6">
        <f t="shared" ref="K68:K70" si="55">K62-H62</f>
        <v>0.44739638282327832</v>
      </c>
      <c r="L68" s="6">
        <f t="shared" ref="L68:L70" si="56">L62-H62</f>
        <v>-0.27352453115522479</v>
      </c>
      <c r="M68" s="6">
        <f t="shared" ref="M68:M70" si="57">M62-H62</f>
        <v>0.39763949572647661</v>
      </c>
      <c r="N68" s="6">
        <f t="shared" ref="N68:N70" si="58">N62-H62</f>
        <v>1.0302227131697563</v>
      </c>
    </row>
    <row r="69" spans="1:14" ht="15.6" x14ac:dyDescent="0.3">
      <c r="A69" s="4" t="s">
        <v>12</v>
      </c>
      <c r="B69" s="2">
        <v>25.222051282051282</v>
      </c>
      <c r="C69" s="2">
        <v>25.12</v>
      </c>
      <c r="D69" s="2">
        <v>24.815820999999961</v>
      </c>
      <c r="E69" s="2">
        <v>24.458534055555571</v>
      </c>
      <c r="G69" t="s">
        <v>18</v>
      </c>
      <c r="H69" s="1"/>
      <c r="I69" s="6">
        <f t="shared" si="53"/>
        <v>-7.1657209815295886E-2</v>
      </c>
      <c r="J69" s="6">
        <f t="shared" si="54"/>
        <v>0.39873097118830003</v>
      </c>
      <c r="K69" s="6">
        <f t="shared" si="55"/>
        <v>0.36779859245470803</v>
      </c>
      <c r="L69" s="6">
        <f t="shared" si="56"/>
        <v>0.31647699388839357</v>
      </c>
      <c r="M69" s="6">
        <f t="shared" si="57"/>
        <v>0.45713629197680916</v>
      </c>
      <c r="N69" s="6">
        <f t="shared" si="58"/>
        <v>0.76937401718591047</v>
      </c>
    </row>
    <row r="70" spans="1:14" ht="15.6" x14ac:dyDescent="0.3">
      <c r="A70" s="4" t="s">
        <v>13</v>
      </c>
      <c r="B70" s="2">
        <v>20.134491315136479</v>
      </c>
      <c r="C70" s="2">
        <v>20.198399999999999</v>
      </c>
      <c r="D70" s="2">
        <v>19.32081623655915</v>
      </c>
      <c r="E70" s="2">
        <v>19.375997795698929</v>
      </c>
      <c r="G70" t="s">
        <v>19</v>
      </c>
      <c r="H70" s="1"/>
      <c r="I70" s="6">
        <f t="shared" si="53"/>
        <v>-6.5971050454933788E-3</v>
      </c>
      <c r="J70" s="6">
        <f t="shared" si="54"/>
        <v>0.10846245528902188</v>
      </c>
      <c r="K70" s="6">
        <f t="shared" si="55"/>
        <v>5.1718623150453169E-2</v>
      </c>
      <c r="L70" s="6">
        <f t="shared" si="56"/>
        <v>0.47105550248139494</v>
      </c>
      <c r="M70" s="6">
        <f t="shared" si="57"/>
        <v>0.42992554788163773</v>
      </c>
      <c r="N70" s="6">
        <f t="shared" si="58"/>
        <v>0.87358800009188897</v>
      </c>
    </row>
    <row r="71" spans="1:14" ht="15.6" x14ac:dyDescent="0.3">
      <c r="A71" s="4" t="s">
        <v>14</v>
      </c>
      <c r="B71" s="2">
        <v>12.79794871794871</v>
      </c>
      <c r="C71" s="2">
        <v>12.8163</v>
      </c>
      <c r="D71" s="2">
        <v>14.34324144444443</v>
      </c>
      <c r="E71" s="2">
        <v>14.475115333333331</v>
      </c>
      <c r="G71" t="s">
        <v>44</v>
      </c>
      <c r="I71" s="2">
        <f>I65-H65</f>
        <v>-3.0362147502575709E-2</v>
      </c>
      <c r="J71" s="2">
        <f>J65-H65</f>
        <v>0.38751169512883976</v>
      </c>
      <c r="K71" s="2">
        <f>K65-H65</f>
        <v>0.46012264340611964</v>
      </c>
      <c r="L71" s="2">
        <f>L65-H65</f>
        <v>0.24447043831041171</v>
      </c>
      <c r="M71" s="2">
        <f>M65-H65</f>
        <v>0.52185749433742146</v>
      </c>
      <c r="N71" s="2">
        <f>N65-H65</f>
        <v>0.94381285914732516</v>
      </c>
    </row>
    <row r="72" spans="1:14" ht="15.6" x14ac:dyDescent="0.3">
      <c r="A72" s="4" t="s">
        <v>15</v>
      </c>
      <c r="B72" s="2">
        <v>7.446153846153841</v>
      </c>
      <c r="C72" s="2">
        <v>7.6277400000000002</v>
      </c>
      <c r="D72" s="2">
        <v>9.2903258342303676</v>
      </c>
      <c r="E72" s="2">
        <v>9.3952344922737367</v>
      </c>
    </row>
    <row r="73" spans="1:14" x14ac:dyDescent="0.3">
      <c r="A73" s="14" t="s">
        <v>46</v>
      </c>
      <c r="B73" s="14"/>
      <c r="C73" s="14"/>
      <c r="D73" s="14"/>
      <c r="E73" s="14"/>
    </row>
    <row r="74" spans="1:14" x14ac:dyDescent="0.3">
      <c r="B74" s="2" t="s">
        <v>0</v>
      </c>
      <c r="C74" s="2" t="s">
        <v>20</v>
      </c>
      <c r="D74" s="2" t="s">
        <v>21</v>
      </c>
      <c r="E74" s="2" t="s">
        <v>22</v>
      </c>
    </row>
    <row r="75" spans="1:14" ht="15.6" x14ac:dyDescent="0.3">
      <c r="A75" s="4" t="s">
        <v>4</v>
      </c>
      <c r="B75" s="2">
        <v>5.7903200000000004</v>
      </c>
      <c r="C75" s="2">
        <v>6.1049305913978511</v>
      </c>
      <c r="D75" s="2">
        <v>6.5070611827956988</v>
      </c>
      <c r="E75" s="2">
        <v>6.4750319892473112</v>
      </c>
    </row>
    <row r="76" spans="1:14" ht="15.6" x14ac:dyDescent="0.3">
      <c r="A76" s="4" t="s">
        <v>5</v>
      </c>
      <c r="B76" s="2">
        <v>9.1936400000000003</v>
      </c>
      <c r="C76" s="2">
        <v>8.5791752358490587</v>
      </c>
      <c r="D76" s="2">
        <v>9.4568484669811426</v>
      </c>
      <c r="E76" s="2">
        <v>9.9977606721698269</v>
      </c>
    </row>
    <row r="77" spans="1:14" ht="15.6" x14ac:dyDescent="0.3">
      <c r="A77" s="4" t="s">
        <v>6</v>
      </c>
      <c r="B77" s="2">
        <v>14.889699999999999</v>
      </c>
      <c r="C77" s="2">
        <v>15.001833494623684</v>
      </c>
      <c r="D77" s="2">
        <v>15.708919677419333</v>
      </c>
      <c r="E77" s="2">
        <v>16.628399139784975</v>
      </c>
    </row>
    <row r="78" spans="1:14" ht="15.6" x14ac:dyDescent="0.3">
      <c r="A78" s="4" t="s">
        <v>7</v>
      </c>
      <c r="B78" s="2">
        <v>20.299700000000001</v>
      </c>
      <c r="C78" s="2">
        <v>20.282709499999999</v>
      </c>
      <c r="D78" s="2">
        <v>21.282870666666643</v>
      </c>
      <c r="E78" s="2">
        <v>22.025974888888854</v>
      </c>
    </row>
    <row r="79" spans="1:14" ht="15.6" x14ac:dyDescent="0.3">
      <c r="A79" s="4" t="s">
        <v>8</v>
      </c>
      <c r="B79" s="2">
        <v>25.216100000000001</v>
      </c>
      <c r="C79" s="2">
        <v>24.374155537634376</v>
      </c>
      <c r="D79" s="2">
        <v>24.680400268817184</v>
      </c>
      <c r="E79" s="2">
        <v>24.915566236559176</v>
      </c>
    </row>
    <row r="80" spans="1:14" ht="15.6" x14ac:dyDescent="0.3">
      <c r="A80" s="4" t="s">
        <v>9</v>
      </c>
      <c r="B80" s="2">
        <v>27.556699999999999</v>
      </c>
      <c r="C80" s="2">
        <v>29.75939761111113</v>
      </c>
      <c r="D80" s="2">
        <v>30.174985666666668</v>
      </c>
      <c r="E80" s="2">
        <v>30.369057444444454</v>
      </c>
    </row>
    <row r="81" spans="1:14" ht="15.6" x14ac:dyDescent="0.3">
      <c r="A81" s="4" t="s">
        <v>10</v>
      </c>
      <c r="B81" s="2">
        <v>27.472899999999999</v>
      </c>
      <c r="C81" s="2">
        <v>26.914465967741933</v>
      </c>
      <c r="D81" s="2">
        <v>27.235281021505376</v>
      </c>
      <c r="E81" s="2">
        <v>27.817268387096782</v>
      </c>
    </row>
    <row r="82" spans="1:14" ht="15.6" x14ac:dyDescent="0.3">
      <c r="A82" s="4" t="s">
        <v>11</v>
      </c>
      <c r="B82" s="2">
        <v>27.048100000000002</v>
      </c>
      <c r="C82" s="2">
        <v>26.568239032258024</v>
      </c>
      <c r="D82" s="2">
        <v>26.253813817204279</v>
      </c>
      <c r="E82" s="2">
        <v>26.414467849462387</v>
      </c>
    </row>
    <row r="83" spans="1:14" ht="15.6" x14ac:dyDescent="0.3">
      <c r="A83" s="4" t="s">
        <v>12</v>
      </c>
      <c r="B83" s="2">
        <v>25.12</v>
      </c>
      <c r="C83" s="2">
        <v>25.016387166666682</v>
      </c>
      <c r="D83" s="2">
        <v>24.97778366666666</v>
      </c>
      <c r="E83" s="2">
        <v>25.195381999999977</v>
      </c>
    </row>
    <row r="84" spans="1:14" ht="15.6" x14ac:dyDescent="0.3">
      <c r="A84" s="4" t="s">
        <v>13</v>
      </c>
      <c r="B84" s="2">
        <v>20.198399999999999</v>
      </c>
      <c r="C84" s="2">
        <v>19.976588655913968</v>
      </c>
      <c r="D84" s="2">
        <v>19.613202903225826</v>
      </c>
      <c r="E84" s="2">
        <v>20.005755537634389</v>
      </c>
    </row>
    <row r="85" spans="1:14" ht="15.6" x14ac:dyDescent="0.3">
      <c r="A85" s="4" t="s">
        <v>14</v>
      </c>
      <c r="B85" s="2">
        <v>12.8163</v>
      </c>
      <c r="C85" s="2">
        <v>14.574682000000013</v>
      </c>
      <c r="D85" s="2">
        <v>14.853281388888902</v>
      </c>
      <c r="E85" s="2">
        <v>15.574117777777772</v>
      </c>
    </row>
    <row r="86" spans="1:14" ht="15.6" x14ac:dyDescent="0.3">
      <c r="A86" s="4" t="s">
        <v>15</v>
      </c>
      <c r="B86" s="2">
        <v>7.6277400000000002</v>
      </c>
      <c r="C86" s="2">
        <v>9.3750262365591315</v>
      </c>
      <c r="D86" s="2">
        <v>9.1117869752422003</v>
      </c>
      <c r="E86" s="2">
        <v>9.5009181567328866</v>
      </c>
    </row>
    <row r="89" spans="1:14" x14ac:dyDescent="0.3">
      <c r="A89" s="14" t="s">
        <v>38</v>
      </c>
      <c r="B89" s="14"/>
      <c r="C89" s="14"/>
      <c r="D89" s="14"/>
      <c r="E89" s="14"/>
      <c r="G89" s="14" t="s">
        <v>27</v>
      </c>
      <c r="H89" s="14"/>
      <c r="I89" s="14"/>
      <c r="J89" s="14"/>
      <c r="K89" s="14"/>
      <c r="L89" s="14"/>
      <c r="M89" s="14"/>
      <c r="N89" s="14"/>
    </row>
    <row r="90" spans="1:14" x14ac:dyDescent="0.3">
      <c r="B90" t="s">
        <v>0</v>
      </c>
      <c r="C90" t="s">
        <v>1</v>
      </c>
      <c r="D90" t="s">
        <v>2</v>
      </c>
      <c r="E90" t="s">
        <v>3</v>
      </c>
      <c r="H90" s="1" t="s">
        <v>0</v>
      </c>
      <c r="I90" s="1" t="s">
        <v>1</v>
      </c>
      <c r="J90" s="1" t="s">
        <v>2</v>
      </c>
      <c r="K90" s="1" t="s">
        <v>3</v>
      </c>
      <c r="L90" s="1" t="s">
        <v>20</v>
      </c>
      <c r="M90" s="1" t="s">
        <v>21</v>
      </c>
      <c r="N90" s="1" t="s">
        <v>22</v>
      </c>
    </row>
    <row r="91" spans="1:14" ht="15.6" x14ac:dyDescent="0.3">
      <c r="A91" s="4" t="s">
        <v>4</v>
      </c>
      <c r="B91" s="2">
        <v>5.9765152688169998</v>
      </c>
      <c r="C91" s="2">
        <v>6.5735783154121874</v>
      </c>
      <c r="D91" s="2">
        <v>6.9072337455197159</v>
      </c>
      <c r="E91" s="2">
        <v>7.3930744802867379</v>
      </c>
      <c r="G91" t="s">
        <v>16</v>
      </c>
      <c r="H91" s="2">
        <f>(B102+B91+B92)/3</f>
        <v>7.3912498207884623</v>
      </c>
      <c r="I91" s="2">
        <f>(C102+C91+C92)/3</f>
        <v>7.8422414119806803</v>
      </c>
      <c r="J91" s="2">
        <f>(D102+D91+D92)/3</f>
        <v>8.2200267684930584</v>
      </c>
      <c r="K91" s="2">
        <f>(E102+E91+E92)/3</f>
        <v>8.7671466465890688</v>
      </c>
      <c r="L91" s="2">
        <f>(C116+C105+C106)/3</f>
        <v>8.0054839154747448</v>
      </c>
      <c r="M91" s="2">
        <f>(D116+D105+D106)/3</f>
        <v>8.4614770126753154</v>
      </c>
      <c r="N91" s="2">
        <f>(E116+E105+E106)/3</f>
        <v>8.9467644333986147</v>
      </c>
    </row>
    <row r="92" spans="1:14" ht="15.6" x14ac:dyDescent="0.3">
      <c r="A92" s="4" t="s">
        <v>5</v>
      </c>
      <c r="B92" s="2">
        <v>8.8179875268817174</v>
      </c>
      <c r="C92" s="2">
        <v>9.3933772287735824</v>
      </c>
      <c r="D92" s="2">
        <v>9.9029794025157223</v>
      </c>
      <c r="E92" s="2">
        <v>11.211842924528298</v>
      </c>
      <c r="G92" t="s">
        <v>17</v>
      </c>
      <c r="H92" s="2">
        <f>(B93+B94+B95)/3</f>
        <v>19.036718420766814</v>
      </c>
      <c r="I92" s="2">
        <f>(C93+C94+C95)/3</f>
        <v>19.609404926722423</v>
      </c>
      <c r="J92" s="2">
        <f>(D93+D94+D95)/3</f>
        <v>20.503138952210278</v>
      </c>
      <c r="K92" s="2">
        <f>(E93+E94+E95)/3</f>
        <v>21.513909472919163</v>
      </c>
      <c r="L92" s="2">
        <f>(C107+C108+C109)/3</f>
        <v>19.497115903624053</v>
      </c>
      <c r="M92" s="2">
        <f>(D107+D108+D109)/3</f>
        <v>20.840951011549166</v>
      </c>
      <c r="N92" s="2">
        <f>(E107+E108+E109)/3</f>
        <v>22.038870550975705</v>
      </c>
    </row>
    <row r="93" spans="1:14" ht="15.6" x14ac:dyDescent="0.3">
      <c r="A93" s="4" t="s">
        <v>6</v>
      </c>
      <c r="B93" s="2">
        <v>13.82552072336266</v>
      </c>
      <c r="C93" s="2">
        <v>14.200310555555554</v>
      </c>
      <c r="D93" s="2">
        <v>15.319448781362004</v>
      </c>
      <c r="E93" s="2">
        <v>16.44599842293907</v>
      </c>
      <c r="G93" t="s">
        <v>18</v>
      </c>
      <c r="H93" s="2">
        <f>(B96+B97+B98)/3</f>
        <v>27.115887596394046</v>
      </c>
      <c r="I93" s="2">
        <f>(C96+C97+C98)/3</f>
        <v>27.191709106929508</v>
      </c>
      <c r="J93" s="2">
        <f>(D96+D97+D98)/3</f>
        <v>27.184506507168464</v>
      </c>
      <c r="K93" s="2">
        <f>(E96+E97+E98)/3</f>
        <v>27.213322048187965</v>
      </c>
      <c r="L93" s="2">
        <f>(C110+C111+C112)/3</f>
        <v>27.335444491636796</v>
      </c>
      <c r="M93" s="2">
        <f>(D110+D111+D112)/3</f>
        <v>27.367650872361608</v>
      </c>
      <c r="N93" s="2">
        <f>(E110+E111+E112)/3</f>
        <v>27.484414191557139</v>
      </c>
    </row>
    <row r="94" spans="1:14" ht="15.6" x14ac:dyDescent="0.3">
      <c r="A94" s="4" t="s">
        <v>7</v>
      </c>
      <c r="B94" s="2">
        <v>19.030304040404044</v>
      </c>
      <c r="C94" s="2">
        <v>19.734248185185184</v>
      </c>
      <c r="D94" s="2">
        <v>20.972409222222236</v>
      </c>
      <c r="E94" s="2">
        <v>22.380883759259262</v>
      </c>
      <c r="G94" t="s">
        <v>19</v>
      </c>
      <c r="H94" s="2">
        <f>(B99+B100+B101)/3</f>
        <v>18.692655381774735</v>
      </c>
      <c r="I94" s="2">
        <f>(C99+C100+C101)/3</f>
        <v>18.537615899442454</v>
      </c>
      <c r="J94" s="2">
        <f>(D99+D100+D101)/3</f>
        <v>17.919872904022302</v>
      </c>
      <c r="K94" s="2">
        <f>(E99+E100+E101)/3</f>
        <v>17.065396273397056</v>
      </c>
      <c r="L94" s="2">
        <f>(C113+C114+C115)/3</f>
        <v>18.786124794703305</v>
      </c>
      <c r="M94" s="2">
        <f>(D113+D114+D115)/3</f>
        <v>18.214384253086415</v>
      </c>
      <c r="N94" s="2">
        <f>(E113+E114+E115)/3</f>
        <v>18.016479622062906</v>
      </c>
    </row>
    <row r="95" spans="1:14" ht="15.6" x14ac:dyDescent="0.3">
      <c r="A95" s="4" t="s">
        <v>8</v>
      </c>
      <c r="B95" s="2">
        <v>24.254330498533733</v>
      </c>
      <c r="C95" s="2">
        <v>24.893656039426528</v>
      </c>
      <c r="D95" s="2">
        <v>25.217558853046594</v>
      </c>
      <c r="E95" s="2">
        <v>25.714846236559151</v>
      </c>
      <c r="G95" s="12" t="s">
        <v>26</v>
      </c>
      <c r="H95" s="6">
        <f>SUM(H91:H94)/4</f>
        <v>18.059127804931016</v>
      </c>
      <c r="I95" s="6">
        <f t="shared" ref="I95:N95" si="59">SUM(I91:I94)/4</f>
        <v>18.295242836268766</v>
      </c>
      <c r="J95" s="6">
        <f t="shared" si="59"/>
        <v>18.456886282973525</v>
      </c>
      <c r="K95" s="6">
        <f t="shared" si="59"/>
        <v>18.639943610273313</v>
      </c>
      <c r="L95" s="6">
        <f t="shared" si="59"/>
        <v>18.406042276359727</v>
      </c>
      <c r="M95" s="6">
        <f t="shared" si="59"/>
        <v>18.721115787418128</v>
      </c>
      <c r="N95" s="6">
        <f t="shared" si="59"/>
        <v>19.121632199498592</v>
      </c>
    </row>
    <row r="96" spans="1:14" ht="15.6" x14ac:dyDescent="0.3">
      <c r="A96" s="4" t="s">
        <v>9</v>
      </c>
      <c r="B96" s="2">
        <v>27.21718282828283</v>
      </c>
      <c r="C96" s="2">
        <v>27.272569166666656</v>
      </c>
      <c r="D96" s="2">
        <v>28.009761833333329</v>
      </c>
      <c r="E96" s="2">
        <v>28.085164925925909</v>
      </c>
      <c r="H96" s="1" t="s">
        <v>0</v>
      </c>
      <c r="I96" s="1" t="s">
        <v>1</v>
      </c>
      <c r="J96" s="1" t="s">
        <v>2</v>
      </c>
      <c r="K96" s="1" t="s">
        <v>3</v>
      </c>
      <c r="L96" s="1" t="s">
        <v>20</v>
      </c>
      <c r="M96" s="1" t="s">
        <v>21</v>
      </c>
      <c r="N96" s="1" t="s">
        <v>22</v>
      </c>
    </row>
    <row r="97" spans="1:14" ht="15.6" x14ac:dyDescent="0.3">
      <c r="A97" s="4" t="s">
        <v>10</v>
      </c>
      <c r="B97" s="2">
        <v>27.247858162267836</v>
      </c>
      <c r="C97" s="2">
        <v>27.314110716845871</v>
      </c>
      <c r="D97" s="2">
        <v>26.998703853046617</v>
      </c>
      <c r="E97" s="2">
        <v>27.298499444444449</v>
      </c>
      <c r="G97" t="s">
        <v>16</v>
      </c>
      <c r="H97" s="1"/>
      <c r="I97" s="6">
        <f>I91-H91</f>
        <v>0.45099159119221799</v>
      </c>
      <c r="J97" s="6">
        <f>J91-H91</f>
        <v>0.82877694770459609</v>
      </c>
      <c r="K97" s="6">
        <f>K91-H91</f>
        <v>1.3758968258006066</v>
      </c>
      <c r="L97" s="6">
        <f>L91-H91</f>
        <v>0.61423409468628254</v>
      </c>
      <c r="M97" s="6">
        <f>M91-H91</f>
        <v>1.0702271918868531</v>
      </c>
      <c r="N97" s="6">
        <f>N91-H91</f>
        <v>1.5555146126101524</v>
      </c>
    </row>
    <row r="98" spans="1:14" ht="15.6" x14ac:dyDescent="0.3">
      <c r="A98" s="4" t="s">
        <v>11</v>
      </c>
      <c r="B98" s="2">
        <v>26.882621798631479</v>
      </c>
      <c r="C98" s="2">
        <v>26.98844743727599</v>
      </c>
      <c r="D98" s="2">
        <v>26.54505383512544</v>
      </c>
      <c r="E98" s="2">
        <v>26.256301774193545</v>
      </c>
      <c r="G98" t="s">
        <v>17</v>
      </c>
      <c r="H98" s="1"/>
      <c r="I98" s="6">
        <f t="shared" ref="I98:I100" si="60">I92-H92</f>
        <v>0.57268650595560899</v>
      </c>
      <c r="J98" s="6">
        <f t="shared" ref="J98:J100" si="61">J92-H92</f>
        <v>1.4664205314434646</v>
      </c>
      <c r="K98" s="6">
        <f t="shared" ref="K98:K100" si="62">K92-H92</f>
        <v>2.4771910521523495</v>
      </c>
      <c r="L98" s="6">
        <f t="shared" ref="L98:L100" si="63">L92-H92</f>
        <v>0.46039748285723903</v>
      </c>
      <c r="M98" s="6">
        <f t="shared" ref="M98:M100" si="64">M92-H92</f>
        <v>1.8042325907823518</v>
      </c>
      <c r="N98" s="6">
        <f t="shared" ref="N98:N100" si="65">N92-H92</f>
        <v>3.0021521302088914</v>
      </c>
    </row>
    <row r="99" spans="1:14" ht="15.6" x14ac:dyDescent="0.3">
      <c r="A99" s="4" t="s">
        <v>12</v>
      </c>
      <c r="B99" s="2">
        <v>24.699494949494934</v>
      </c>
      <c r="C99" s="2">
        <v>24.618345425925924</v>
      </c>
      <c r="D99" s="2">
        <v>24.076372907407418</v>
      </c>
      <c r="E99" s="2">
        <v>22.78314296296297</v>
      </c>
      <c r="G99" t="s">
        <v>18</v>
      </c>
      <c r="H99" s="1"/>
      <c r="I99" s="6">
        <f t="shared" si="60"/>
        <v>7.5821510535462266E-2</v>
      </c>
      <c r="J99" s="6">
        <f t="shared" si="61"/>
        <v>6.8618910774418396E-2</v>
      </c>
      <c r="K99" s="6">
        <f t="shared" si="62"/>
        <v>9.7434451793919408E-2</v>
      </c>
      <c r="L99" s="6">
        <f t="shared" si="63"/>
        <v>0.21955689524275002</v>
      </c>
      <c r="M99" s="6">
        <f t="shared" si="64"/>
        <v>0.25176327596756209</v>
      </c>
      <c r="N99" s="6">
        <f t="shared" si="65"/>
        <v>0.36852659516309316</v>
      </c>
    </row>
    <row r="100" spans="1:14" ht="15.6" x14ac:dyDescent="0.3">
      <c r="A100" s="4" t="s">
        <v>13</v>
      </c>
      <c r="B100" s="2">
        <v>18.536270185728267</v>
      </c>
      <c r="C100" s="2">
        <v>18.350345161290317</v>
      </c>
      <c r="D100" s="2">
        <v>17.554955860215049</v>
      </c>
      <c r="E100" s="2">
        <v>17.077565949820798</v>
      </c>
      <c r="G100" t="s">
        <v>19</v>
      </c>
      <c r="H100" s="1"/>
      <c r="I100" s="6">
        <f t="shared" si="60"/>
        <v>-0.15503948233228115</v>
      </c>
      <c r="J100" s="6">
        <f t="shared" si="61"/>
        <v>-0.77278247775243258</v>
      </c>
      <c r="K100" s="6">
        <f t="shared" si="62"/>
        <v>-1.6272591083776788</v>
      </c>
      <c r="L100" s="6">
        <f t="shared" si="63"/>
        <v>9.346941292857025E-2</v>
      </c>
      <c r="M100" s="6">
        <f t="shared" si="64"/>
        <v>-0.47827112868831989</v>
      </c>
      <c r="N100" s="6">
        <f t="shared" si="65"/>
        <v>-0.67617575971182831</v>
      </c>
    </row>
    <row r="101" spans="1:14" ht="15.6" x14ac:dyDescent="0.3">
      <c r="A101" s="4" t="s">
        <v>14</v>
      </c>
      <c r="B101" s="2">
        <v>12.842201010101</v>
      </c>
      <c r="C101" s="2">
        <v>12.644157111111113</v>
      </c>
      <c r="D101" s="2">
        <v>12.128289944444441</v>
      </c>
      <c r="E101" s="2">
        <v>11.335479907407404</v>
      </c>
      <c r="G101" t="s">
        <v>44</v>
      </c>
      <c r="I101" s="2">
        <f>I95-H95</f>
        <v>0.23611503133775003</v>
      </c>
      <c r="J101" s="2">
        <f>J95-H95</f>
        <v>0.3977584780425083</v>
      </c>
      <c r="K101" s="2">
        <f>K95-H95</f>
        <v>0.58081580534229715</v>
      </c>
      <c r="L101" s="2">
        <f>L95-H95</f>
        <v>0.34691447142871112</v>
      </c>
      <c r="M101" s="2">
        <f>M95-H95</f>
        <v>0.66198798248711199</v>
      </c>
      <c r="N101" s="2">
        <f>N95-H95</f>
        <v>1.0625043945675756</v>
      </c>
    </row>
    <row r="102" spans="1:14" ht="15.6" x14ac:dyDescent="0.3">
      <c r="A102" s="4" t="s">
        <v>15</v>
      </c>
      <c r="B102" s="2">
        <v>7.379246666666667</v>
      </c>
      <c r="C102" s="2">
        <v>7.5597686917562728</v>
      </c>
      <c r="D102" s="2">
        <v>7.8498671574437369</v>
      </c>
      <c r="E102" s="2">
        <v>7.6965225349521686</v>
      </c>
    </row>
    <row r="103" spans="1:14" x14ac:dyDescent="0.3">
      <c r="A103" s="14" t="s">
        <v>39</v>
      </c>
      <c r="B103" s="14"/>
      <c r="C103" s="14"/>
      <c r="D103" s="14"/>
      <c r="E103" s="14"/>
    </row>
    <row r="104" spans="1:14" x14ac:dyDescent="0.3">
      <c r="B104" s="2" t="s">
        <v>0</v>
      </c>
      <c r="C104" s="2" t="s">
        <v>20</v>
      </c>
      <c r="D104" s="2" t="s">
        <v>21</v>
      </c>
      <c r="E104" s="2" t="s">
        <v>22</v>
      </c>
    </row>
    <row r="105" spans="1:14" ht="15.6" x14ac:dyDescent="0.3">
      <c r="A105" s="4" t="s">
        <v>4</v>
      </c>
      <c r="B105" s="2">
        <v>5.9776786021503341</v>
      </c>
      <c r="C105" s="2">
        <v>6.60833903225807</v>
      </c>
      <c r="D105" s="2">
        <v>7.1146633154121872</v>
      </c>
      <c r="E105" s="2">
        <v>7.5531005017921187</v>
      </c>
    </row>
    <row r="106" spans="1:14" ht="15.6" x14ac:dyDescent="0.3">
      <c r="A106" s="4" t="s">
        <v>5</v>
      </c>
      <c r="B106" s="2">
        <v>8.8175575268817195</v>
      </c>
      <c r="C106" s="2">
        <v>9.2663586281446584</v>
      </c>
      <c r="D106" s="2">
        <v>10.450240094339623</v>
      </c>
      <c r="E106" s="2">
        <v>11.568891529088056</v>
      </c>
    </row>
    <row r="107" spans="1:14" ht="15.6" x14ac:dyDescent="0.3">
      <c r="A107" s="4" t="s">
        <v>6</v>
      </c>
      <c r="B107" s="2">
        <v>13.826187390029325</v>
      </c>
      <c r="C107" s="2">
        <v>14.174202974910399</v>
      </c>
      <c r="D107" s="2">
        <v>15.596241451612903</v>
      </c>
      <c r="E107" s="2">
        <v>17.036311971326182</v>
      </c>
    </row>
    <row r="108" spans="1:14" ht="15.6" x14ac:dyDescent="0.3">
      <c r="A108" s="4" t="s">
        <v>7</v>
      </c>
      <c r="B108" s="2">
        <v>19.029004040404043</v>
      </c>
      <c r="C108" s="2">
        <v>19.677322370370376</v>
      </c>
      <c r="D108" s="2">
        <v>21.440986296296277</v>
      </c>
      <c r="E108" s="2">
        <v>22.969741240740721</v>
      </c>
    </row>
    <row r="109" spans="1:14" ht="15.6" x14ac:dyDescent="0.3">
      <c r="A109" s="4" t="s">
        <v>8</v>
      </c>
      <c r="B109" s="2">
        <v>24.253697165200396</v>
      </c>
      <c r="C109" s="2">
        <v>24.639822365591385</v>
      </c>
      <c r="D109" s="2">
        <v>25.485625286738323</v>
      </c>
      <c r="E109" s="2">
        <v>26.11055844086022</v>
      </c>
    </row>
    <row r="110" spans="1:14" ht="15.6" x14ac:dyDescent="0.3">
      <c r="A110" s="4" t="s">
        <v>9</v>
      </c>
      <c r="B110" s="2">
        <v>27.215982828282829</v>
      </c>
      <c r="C110" s="2">
        <v>27.997983833333347</v>
      </c>
      <c r="D110" s="2">
        <v>28.211031129629642</v>
      </c>
      <c r="E110" s="2">
        <v>28.15069592592592</v>
      </c>
    </row>
    <row r="111" spans="1:14" ht="15.6" x14ac:dyDescent="0.3">
      <c r="A111" s="4" t="s">
        <v>10</v>
      </c>
      <c r="B111" s="2">
        <v>27.248158162267838</v>
      </c>
      <c r="C111" s="2">
        <v>27.109148960573481</v>
      </c>
      <c r="D111" s="2">
        <v>27.231311469534038</v>
      </c>
      <c r="E111" s="2">
        <v>27.594953387096762</v>
      </c>
    </row>
    <row r="112" spans="1:14" ht="15.6" x14ac:dyDescent="0.3">
      <c r="A112" s="4" t="s">
        <v>11</v>
      </c>
      <c r="B112" s="2">
        <v>26.883088465298147</v>
      </c>
      <c r="C112" s="2">
        <v>26.899200681003563</v>
      </c>
      <c r="D112" s="2">
        <v>26.660610017921144</v>
      </c>
      <c r="E112" s="2">
        <v>26.707593261648739</v>
      </c>
    </row>
    <row r="113" spans="1:5" ht="15.6" x14ac:dyDescent="0.3">
      <c r="A113" s="4" t="s">
        <v>12</v>
      </c>
      <c r="B113" s="2">
        <v>24.699094949494935</v>
      </c>
      <c r="C113" s="2">
        <v>24.582849907407404</v>
      </c>
      <c r="D113" s="2">
        <v>24.09949516666666</v>
      </c>
      <c r="E113" s="2">
        <v>24.0138666296296</v>
      </c>
    </row>
    <row r="114" spans="1:5" ht="15.6" x14ac:dyDescent="0.3">
      <c r="A114" s="4" t="s">
        <v>13</v>
      </c>
      <c r="B114" s="2">
        <v>18.535036852394931</v>
      </c>
      <c r="C114" s="2">
        <v>18.489862921146951</v>
      </c>
      <c r="D114" s="2">
        <v>17.99614722222222</v>
      </c>
      <c r="E114" s="2">
        <v>18.018707903225799</v>
      </c>
    </row>
    <row r="115" spans="1:5" ht="15.6" x14ac:dyDescent="0.3">
      <c r="A115" s="4" t="s">
        <v>14</v>
      </c>
      <c r="B115" s="2">
        <v>12.840601010100999</v>
      </c>
      <c r="C115" s="2">
        <v>13.285661555555558</v>
      </c>
      <c r="D115" s="2">
        <v>12.547510370370368</v>
      </c>
      <c r="E115" s="2">
        <v>12.016864333333325</v>
      </c>
    </row>
    <row r="116" spans="1:5" ht="15.6" x14ac:dyDescent="0.3">
      <c r="A116" s="4" t="s">
        <v>15</v>
      </c>
      <c r="B116" s="2">
        <v>7.38</v>
      </c>
      <c r="C116" s="2">
        <v>8.1417540860215052</v>
      </c>
      <c r="D116" s="2">
        <v>7.8195276282741331</v>
      </c>
      <c r="E116" s="2">
        <v>7.718301269315667</v>
      </c>
    </row>
  </sheetData>
  <mergeCells count="12">
    <mergeCell ref="A89:E89"/>
    <mergeCell ref="G89:N89"/>
    <mergeCell ref="A103:E103"/>
    <mergeCell ref="A1:E1"/>
    <mergeCell ref="A15:E15"/>
    <mergeCell ref="G1:N1"/>
    <mergeCell ref="A30:E30"/>
    <mergeCell ref="G30:N30"/>
    <mergeCell ref="A73:E73"/>
    <mergeCell ref="A44:E44"/>
    <mergeCell ref="A59:E59"/>
    <mergeCell ref="G59:N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8"/>
  <sheetViews>
    <sheetView topLeftCell="A84" workbookViewId="0">
      <selection activeCell="K100" sqref="K100"/>
    </sheetView>
  </sheetViews>
  <sheetFormatPr defaultRowHeight="14.4" x14ac:dyDescent="0.3"/>
  <cols>
    <col min="2" max="2" width="9.5546875" bestFit="1" customWidth="1"/>
    <col min="3" max="5" width="12.5546875" bestFit="1" customWidth="1"/>
    <col min="9" max="14" width="12.6640625" bestFit="1" customWidth="1"/>
  </cols>
  <sheetData>
    <row r="1" spans="1:14" x14ac:dyDescent="0.3">
      <c r="A1" s="14" t="s">
        <v>29</v>
      </c>
      <c r="B1" s="14"/>
      <c r="C1" s="14"/>
      <c r="D1" s="14"/>
      <c r="E1" s="14"/>
      <c r="G1" s="14" t="s">
        <v>27</v>
      </c>
      <c r="H1" s="14"/>
      <c r="I1" s="14"/>
      <c r="J1" s="14"/>
      <c r="K1" s="14"/>
      <c r="L1" s="14"/>
      <c r="M1" s="14"/>
      <c r="N1" s="14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20</v>
      </c>
      <c r="M2" s="1" t="s">
        <v>21</v>
      </c>
      <c r="N2" s="1" t="s">
        <v>22</v>
      </c>
    </row>
    <row r="3" spans="1:14" ht="15.6" x14ac:dyDescent="0.3">
      <c r="A3" s="4" t="s">
        <v>4</v>
      </c>
      <c r="B3" s="2">
        <v>21.9818</v>
      </c>
      <c r="C3" s="2">
        <v>28.628466666666647</v>
      </c>
      <c r="D3" s="2">
        <v>37.603100000000005</v>
      </c>
      <c r="E3" s="2">
        <v>76.6447</v>
      </c>
      <c r="G3" t="s">
        <v>16</v>
      </c>
      <c r="H3" s="2">
        <f>(B14+B3+B4)</f>
        <v>80.772799999999989</v>
      </c>
      <c r="I3" s="2">
        <f>(C14+C3+C4)</f>
        <v>141.06033333333335</v>
      </c>
      <c r="J3" s="2">
        <f>(D14+D3+D4)</f>
        <v>111.82689999999999</v>
      </c>
      <c r="K3" s="2">
        <f>(E14+E3+E4)</f>
        <v>138.88829999999999</v>
      </c>
      <c r="L3" s="2">
        <f>(C29+C18+C19)</f>
        <v>131.86010000000002</v>
      </c>
      <c r="M3" s="2">
        <f>(D29+D18+D19)</f>
        <v>123.83296666666666</v>
      </c>
      <c r="N3" s="2">
        <f>(E29+E18+E19)</f>
        <v>165.40746666666666</v>
      </c>
    </row>
    <row r="4" spans="1:14" ht="15.6" x14ac:dyDescent="0.3">
      <c r="A4" s="4" t="s">
        <v>5</v>
      </c>
      <c r="B4" s="2">
        <v>44.045499999999997</v>
      </c>
      <c r="C4" s="2">
        <v>81.262500000000045</v>
      </c>
      <c r="D4" s="2">
        <v>54.975299999999997</v>
      </c>
      <c r="E4" s="2">
        <v>44.721633333333315</v>
      </c>
      <c r="G4" t="s">
        <v>17</v>
      </c>
      <c r="H4" s="2">
        <f>(B5+B6+B7)</f>
        <v>74.909099999999995</v>
      </c>
      <c r="I4" s="2">
        <f>(C5+C6+C7)</f>
        <v>74.65379999999999</v>
      </c>
      <c r="J4" s="2">
        <f>(D5+D6+D7)</f>
        <v>70.381266666666662</v>
      </c>
      <c r="K4" s="2">
        <f>(E5+E6+E7)</f>
        <v>97.690300000000008</v>
      </c>
      <c r="L4" s="2">
        <f>(C20+C21+C22)</f>
        <v>56.183366666666672</v>
      </c>
      <c r="M4" s="2">
        <f>(D20+D21+D22)</f>
        <v>99.084133333333355</v>
      </c>
      <c r="N4" s="2">
        <f>(E20+E21+E22)</f>
        <v>114.16900000000001</v>
      </c>
    </row>
    <row r="5" spans="1:14" ht="15.6" x14ac:dyDescent="0.3">
      <c r="A5" s="4" t="s">
        <v>6</v>
      </c>
      <c r="B5" s="2">
        <v>35.818199999999997</v>
      </c>
      <c r="C5" s="2">
        <v>30.246699999999997</v>
      </c>
      <c r="D5" s="2">
        <v>23.829599999999989</v>
      </c>
      <c r="E5" s="2">
        <v>19.352800000000002</v>
      </c>
      <c r="G5" t="s">
        <v>18</v>
      </c>
      <c r="H5" s="2">
        <f>(B8+B9+B10)</f>
        <v>388.61849999999998</v>
      </c>
      <c r="I5" s="2">
        <f>(C8+C9+C10)</f>
        <v>366.88973333333342</v>
      </c>
      <c r="J5" s="2">
        <f>(D8+D9+D10)</f>
        <v>437.78023333333351</v>
      </c>
      <c r="K5" s="2">
        <f>(E8+E9+E10)</f>
        <v>487.13150000000019</v>
      </c>
      <c r="L5" s="2">
        <f>(C23+C24+C25)</f>
        <v>481.29666666666674</v>
      </c>
      <c r="M5" s="2">
        <f>(D23+D24+D25)</f>
        <v>492.35806666666673</v>
      </c>
      <c r="N5" s="2">
        <f>(E23+E24+E25)</f>
        <v>638.87823333333313</v>
      </c>
    </row>
    <row r="6" spans="1:14" ht="15.6" x14ac:dyDescent="0.3">
      <c r="A6" s="4" t="s">
        <v>7</v>
      </c>
      <c r="B6" s="2">
        <v>19.454499999999999</v>
      </c>
      <c r="C6" s="2">
        <v>15.44343333333333</v>
      </c>
      <c r="D6" s="2">
        <v>15.570366666666674</v>
      </c>
      <c r="E6" s="2">
        <v>24.822833333333339</v>
      </c>
      <c r="G6" t="s">
        <v>19</v>
      </c>
      <c r="H6" s="2">
        <f>(B11+B12+B13)</f>
        <v>108.78182</v>
      </c>
      <c r="I6" s="2">
        <f>(C11+C12+C13)</f>
        <v>186.06486666666666</v>
      </c>
      <c r="J6" s="2">
        <f>(D11+D12+D13)</f>
        <v>171.50560000000002</v>
      </c>
      <c r="K6" s="2">
        <f>(E11+E12+E13)</f>
        <v>126.53996666666669</v>
      </c>
      <c r="L6" s="2">
        <f>(C26+C27+C28)</f>
        <v>211.34933333333336</v>
      </c>
      <c r="M6" s="2">
        <f>(D26+D27+D28)</f>
        <v>207.1054</v>
      </c>
      <c r="N6" s="2">
        <f>(E26+E27+E28)</f>
        <v>158.34276666666668</v>
      </c>
    </row>
    <row r="7" spans="1:14" ht="15.6" x14ac:dyDescent="0.3">
      <c r="A7" s="4" t="s">
        <v>8</v>
      </c>
      <c r="B7" s="2">
        <v>19.636399999999998</v>
      </c>
      <c r="C7" s="2">
        <v>28.963666666666668</v>
      </c>
      <c r="D7" s="2">
        <v>30.981299999999994</v>
      </c>
      <c r="E7" s="2">
        <v>53.514666666666663</v>
      </c>
      <c r="G7" s="12" t="s">
        <v>26</v>
      </c>
      <c r="H7" s="6">
        <f>SUM(H3:H6)</f>
        <v>653.08222000000001</v>
      </c>
      <c r="I7" s="6">
        <f t="shared" ref="I7:N7" si="0">SUM(I3:I6)</f>
        <v>768.66873333333342</v>
      </c>
      <c r="J7" s="6">
        <f t="shared" si="0"/>
        <v>791.49400000000014</v>
      </c>
      <c r="K7" s="6">
        <f t="shared" si="0"/>
        <v>850.25006666666695</v>
      </c>
      <c r="L7" s="6">
        <f t="shared" si="0"/>
        <v>880.6894666666667</v>
      </c>
      <c r="M7" s="6">
        <f t="shared" si="0"/>
        <v>922.38056666666682</v>
      </c>
      <c r="N7" s="6">
        <f t="shared" si="0"/>
        <v>1076.7974666666664</v>
      </c>
    </row>
    <row r="8" spans="1:14" ht="15.6" x14ac:dyDescent="0.3">
      <c r="A8" s="4" t="s">
        <v>9</v>
      </c>
      <c r="B8" s="6">
        <v>42.7545</v>
      </c>
      <c r="C8" s="2">
        <v>73.855033333333324</v>
      </c>
      <c r="D8" s="2">
        <v>118.50456666666666</v>
      </c>
      <c r="E8" s="2">
        <v>162.65646666666683</v>
      </c>
      <c r="H8" s="1" t="s">
        <v>0</v>
      </c>
      <c r="I8" s="1" t="s">
        <v>1</v>
      </c>
      <c r="J8" s="1" t="s">
        <v>2</v>
      </c>
      <c r="K8" s="1" t="s">
        <v>3</v>
      </c>
      <c r="L8" s="1" t="s">
        <v>20</v>
      </c>
      <c r="M8" s="1" t="s">
        <v>21</v>
      </c>
      <c r="N8" s="1" t="s">
        <v>22</v>
      </c>
    </row>
    <row r="9" spans="1:14" ht="15.6" x14ac:dyDescent="0.3">
      <c r="A9" s="4" t="s">
        <v>10</v>
      </c>
      <c r="B9" s="6">
        <v>167.66399999999999</v>
      </c>
      <c r="C9" s="2">
        <v>186.23083333333344</v>
      </c>
      <c r="D9" s="2">
        <v>186.86110000000005</v>
      </c>
      <c r="E9" s="2">
        <v>195.00189999999992</v>
      </c>
      <c r="G9" t="s">
        <v>16</v>
      </c>
      <c r="H9" s="1"/>
      <c r="I9" s="2">
        <f>I3-H3</f>
        <v>60.287533333333357</v>
      </c>
      <c r="J9" s="2">
        <f>J3-H3</f>
        <v>31.054100000000005</v>
      </c>
      <c r="K9" s="2">
        <f>K3-H3</f>
        <v>58.115499999999997</v>
      </c>
      <c r="L9" s="2">
        <f>L3-H3</f>
        <v>51.087300000000027</v>
      </c>
      <c r="M9" s="2">
        <f>M3-H3</f>
        <v>43.060166666666674</v>
      </c>
      <c r="N9" s="2">
        <f>N3-H3</f>
        <v>84.634666666666675</v>
      </c>
    </row>
    <row r="10" spans="1:14" ht="15.6" x14ac:dyDescent="0.3">
      <c r="A10" s="4" t="s">
        <v>11</v>
      </c>
      <c r="B10" s="6">
        <v>178.2</v>
      </c>
      <c r="C10" s="2">
        <v>106.80386666666664</v>
      </c>
      <c r="D10" s="2">
        <v>132.41456666666679</v>
      </c>
      <c r="E10" s="2">
        <v>129.47313333333344</v>
      </c>
      <c r="G10" t="s">
        <v>17</v>
      </c>
      <c r="H10" s="1"/>
      <c r="I10" s="2">
        <f>I4-H4</f>
        <v>-0.25530000000000541</v>
      </c>
      <c r="J10" s="2">
        <f>J4-H4</f>
        <v>-4.5278333333333336</v>
      </c>
      <c r="K10" s="2">
        <f>K4-H4</f>
        <v>22.781200000000013</v>
      </c>
      <c r="L10" s="2">
        <f>L4-H4</f>
        <v>-18.725733333333324</v>
      </c>
      <c r="M10" s="2">
        <f>M4-H4</f>
        <v>24.17503333333336</v>
      </c>
      <c r="N10" s="2">
        <f>N4-H4</f>
        <v>39.259900000000016</v>
      </c>
    </row>
    <row r="11" spans="1:14" ht="15.6" x14ac:dyDescent="0.3">
      <c r="A11" s="4" t="s">
        <v>12</v>
      </c>
      <c r="B11" s="2">
        <v>85.7273</v>
      </c>
      <c r="C11" s="2">
        <v>150.98716666666667</v>
      </c>
      <c r="D11" s="2">
        <v>124.79793333333336</v>
      </c>
      <c r="E11" s="2">
        <v>64.158833333333348</v>
      </c>
      <c r="G11" t="s">
        <v>18</v>
      </c>
      <c r="H11" s="1"/>
      <c r="I11" s="2">
        <f>I5-H5</f>
        <v>-21.728766666666559</v>
      </c>
      <c r="J11" s="2">
        <f>J5-H5</f>
        <v>49.16173333333353</v>
      </c>
      <c r="K11" s="2">
        <f>K5-H5</f>
        <v>98.513000000000204</v>
      </c>
      <c r="L11" s="2">
        <f>L5-H5</f>
        <v>92.678166666666755</v>
      </c>
      <c r="M11" s="2">
        <f>M5-H5</f>
        <v>103.73956666666675</v>
      </c>
      <c r="N11" s="2">
        <f>N5-H5</f>
        <v>250.25973333333314</v>
      </c>
    </row>
    <row r="12" spans="1:14" ht="15.6" x14ac:dyDescent="0.3">
      <c r="A12" s="4" t="s">
        <v>13</v>
      </c>
      <c r="B12" s="2">
        <v>19.872699999999998</v>
      </c>
      <c r="C12" s="2">
        <v>15.547433333333334</v>
      </c>
      <c r="D12" s="2">
        <v>10.021233333333329</v>
      </c>
      <c r="E12" s="2">
        <v>29.164466666666669</v>
      </c>
      <c r="G12" t="s">
        <v>19</v>
      </c>
      <c r="H12" s="1"/>
      <c r="I12" s="2">
        <f>I6-H6</f>
        <v>77.283046666666664</v>
      </c>
      <c r="J12" s="2">
        <f>J6-H6</f>
        <v>62.723780000000019</v>
      </c>
      <c r="K12" s="2">
        <f>K6-H6</f>
        <v>17.75814666666669</v>
      </c>
      <c r="L12" s="2">
        <f>L6-H6</f>
        <v>102.56751333333337</v>
      </c>
      <c r="M12" s="2">
        <f>M6-H6</f>
        <v>98.323580000000007</v>
      </c>
      <c r="N12" s="2">
        <f>N6-H6</f>
        <v>49.56094666666668</v>
      </c>
    </row>
    <row r="13" spans="1:14" ht="15.6" x14ac:dyDescent="0.3">
      <c r="A13" s="4" t="s">
        <v>14</v>
      </c>
      <c r="B13" s="2">
        <v>3.1818200000000001</v>
      </c>
      <c r="C13" s="2">
        <v>19.530266666666662</v>
      </c>
      <c r="D13" s="2">
        <v>36.686433333333333</v>
      </c>
      <c r="E13" s="2">
        <v>33.216666666666669</v>
      </c>
      <c r="G13" t="s">
        <v>44</v>
      </c>
      <c r="I13" s="2">
        <f>SUM(I9:I12)</f>
        <v>115.58651333333346</v>
      </c>
      <c r="J13" s="2">
        <f>D15-B15</f>
        <v>138.41178000000025</v>
      </c>
      <c r="K13" s="2">
        <f>E15-B15</f>
        <v>197.16784666666695</v>
      </c>
      <c r="L13" s="2">
        <f>C30-B30</f>
        <v>227.60724666666658</v>
      </c>
      <c r="M13" s="2">
        <f>D30-B30</f>
        <v>269.2983466666667</v>
      </c>
      <c r="N13" s="2">
        <f>E30-B30</f>
        <v>423.71524666666664</v>
      </c>
    </row>
    <row r="14" spans="1:14" ht="15.6" x14ac:dyDescent="0.3">
      <c r="A14" s="4" t="s">
        <v>15</v>
      </c>
      <c r="B14" s="2">
        <v>14.7455</v>
      </c>
      <c r="C14" s="2">
        <v>31.169366666666669</v>
      </c>
      <c r="D14" s="2">
        <v>19.248499999999996</v>
      </c>
      <c r="E14" s="2">
        <v>17.521966666666668</v>
      </c>
    </row>
    <row r="15" spans="1:14" ht="15.6" x14ac:dyDescent="0.3">
      <c r="A15" s="4" t="s">
        <v>44</v>
      </c>
      <c r="B15" s="2">
        <f>SUM(B3:B14)</f>
        <v>653.08222000000001</v>
      </c>
      <c r="C15" s="2">
        <f t="shared" ref="C15:E15" si="1">SUM(C3:C14)</f>
        <v>768.66873333333331</v>
      </c>
      <c r="D15" s="2">
        <f t="shared" si="1"/>
        <v>791.49400000000026</v>
      </c>
      <c r="E15" s="2">
        <f t="shared" si="1"/>
        <v>850.25006666666695</v>
      </c>
    </row>
    <row r="16" spans="1:14" x14ac:dyDescent="0.3">
      <c r="A16" s="14" t="s">
        <v>30</v>
      </c>
      <c r="B16" s="14"/>
      <c r="C16" s="14"/>
      <c r="D16" s="14"/>
      <c r="E16" s="14"/>
    </row>
    <row r="17" spans="1:14" x14ac:dyDescent="0.3">
      <c r="B17" s="2" t="s">
        <v>0</v>
      </c>
      <c r="C17" s="2" t="s">
        <v>20</v>
      </c>
      <c r="D17" s="2" t="s">
        <v>21</v>
      </c>
      <c r="E17" s="2" t="s">
        <v>22</v>
      </c>
    </row>
    <row r="18" spans="1:14" ht="15.6" x14ac:dyDescent="0.3">
      <c r="A18" s="4" t="s">
        <v>4</v>
      </c>
      <c r="B18" s="2">
        <v>21.9818</v>
      </c>
      <c r="C18" s="2">
        <v>27.213099999999994</v>
      </c>
      <c r="D18" s="2">
        <v>45.800766666666668</v>
      </c>
      <c r="E18" s="2">
        <v>88.601933333333335</v>
      </c>
    </row>
    <row r="19" spans="1:14" ht="15.6" x14ac:dyDescent="0.3">
      <c r="A19" s="4" t="s">
        <v>5</v>
      </c>
      <c r="B19" s="2">
        <v>44.045499999999997</v>
      </c>
      <c r="C19" s="2">
        <v>76.922333333333356</v>
      </c>
      <c r="D19" s="2">
        <v>53.785900000000005</v>
      </c>
      <c r="E19" s="2">
        <v>59.885533333333314</v>
      </c>
    </row>
    <row r="20" spans="1:14" ht="15.6" x14ac:dyDescent="0.3">
      <c r="A20" s="4" t="s">
        <v>6</v>
      </c>
      <c r="B20" s="2">
        <v>35.818199999999997</v>
      </c>
      <c r="C20" s="2">
        <v>14.908166666666675</v>
      </c>
      <c r="D20" s="2">
        <v>25.809900000000003</v>
      </c>
      <c r="E20" s="2">
        <v>15.09166666666667</v>
      </c>
      <c r="I20" s="10"/>
    </row>
    <row r="21" spans="1:14" ht="15.6" x14ac:dyDescent="0.3">
      <c r="A21" s="4" t="s">
        <v>7</v>
      </c>
      <c r="B21" s="2">
        <v>19.454499999999999</v>
      </c>
      <c r="C21" s="2">
        <v>17.742333333333328</v>
      </c>
      <c r="D21" s="2">
        <v>23.873199999999986</v>
      </c>
      <c r="E21" s="2">
        <v>26.035533333333326</v>
      </c>
    </row>
    <row r="22" spans="1:14" ht="15.6" x14ac:dyDescent="0.3">
      <c r="A22" s="4" t="s">
        <v>8</v>
      </c>
      <c r="B22" s="2">
        <v>19.636399999999998</v>
      </c>
      <c r="C22" s="2">
        <v>23.532866666666667</v>
      </c>
      <c r="D22" s="2">
        <v>49.401033333333366</v>
      </c>
      <c r="E22" s="2">
        <v>73.041800000000023</v>
      </c>
    </row>
    <row r="23" spans="1:14" ht="15.6" x14ac:dyDescent="0.3">
      <c r="A23" s="4" t="s">
        <v>9</v>
      </c>
      <c r="B23" s="6">
        <v>42.7545</v>
      </c>
      <c r="C23" s="2">
        <v>85.938366666666624</v>
      </c>
      <c r="D23" s="2">
        <v>137.45720000000003</v>
      </c>
      <c r="E23" s="2">
        <v>176.37296666666668</v>
      </c>
    </row>
    <row r="24" spans="1:14" ht="15.6" x14ac:dyDescent="0.3">
      <c r="A24" s="4" t="s">
        <v>10</v>
      </c>
      <c r="B24" s="6">
        <v>167.66399999999999</v>
      </c>
      <c r="C24" s="2">
        <v>186.38633333333325</v>
      </c>
      <c r="D24" s="2">
        <v>195.99496666666676</v>
      </c>
      <c r="E24" s="2">
        <v>262.74416666666639</v>
      </c>
    </row>
    <row r="25" spans="1:14" ht="15.6" x14ac:dyDescent="0.3">
      <c r="A25" s="4" t="s">
        <v>11</v>
      </c>
      <c r="B25" s="6">
        <v>178.2</v>
      </c>
      <c r="C25" s="2">
        <v>208.97196666666684</v>
      </c>
      <c r="D25" s="2">
        <v>158.90589999999992</v>
      </c>
      <c r="E25" s="2">
        <v>199.7611</v>
      </c>
    </row>
    <row r="26" spans="1:14" ht="15.6" x14ac:dyDescent="0.3">
      <c r="A26" s="4" t="s">
        <v>12</v>
      </c>
      <c r="B26" s="2">
        <v>85.7273</v>
      </c>
      <c r="C26" s="2">
        <v>169.50500000000002</v>
      </c>
      <c r="D26" s="2">
        <v>159.41590000000002</v>
      </c>
      <c r="E26" s="2">
        <v>91.821166666666684</v>
      </c>
    </row>
    <row r="27" spans="1:14" ht="15.6" x14ac:dyDescent="0.3">
      <c r="A27" s="4" t="s">
        <v>13</v>
      </c>
      <c r="B27" s="2">
        <v>19.872699999999998</v>
      </c>
      <c r="C27" s="2">
        <v>14.2425</v>
      </c>
      <c r="D27" s="2">
        <v>15.219833333333334</v>
      </c>
      <c r="E27" s="2">
        <v>15.568466666666668</v>
      </c>
    </row>
    <row r="28" spans="1:14" ht="15.6" x14ac:dyDescent="0.3">
      <c r="A28" s="4" t="s">
        <v>14</v>
      </c>
      <c r="B28" s="2">
        <v>3.1818200000000001</v>
      </c>
      <c r="C28" s="2">
        <v>27.601833333333332</v>
      </c>
      <c r="D28" s="2">
        <v>32.469666666666654</v>
      </c>
      <c r="E28" s="2">
        <v>50.953133333333327</v>
      </c>
    </row>
    <row r="29" spans="1:14" ht="15.6" x14ac:dyDescent="0.3">
      <c r="A29" s="4" t="s">
        <v>15</v>
      </c>
      <c r="B29" s="2">
        <v>14.7455</v>
      </c>
      <c r="C29" s="2">
        <v>27.724666666666664</v>
      </c>
      <c r="D29" s="2">
        <v>24.246300000000002</v>
      </c>
      <c r="E29" s="2">
        <v>16.920000000000002</v>
      </c>
    </row>
    <row r="30" spans="1:14" ht="15.6" x14ac:dyDescent="0.3">
      <c r="A30" s="4" t="s">
        <v>44</v>
      </c>
      <c r="B30" s="2">
        <f>SUM(B18:B29)</f>
        <v>653.08222000000001</v>
      </c>
      <c r="C30" s="2">
        <f t="shared" ref="C30:E30" si="2">SUM(C18:C29)</f>
        <v>880.68946666666659</v>
      </c>
      <c r="D30" s="2">
        <f t="shared" si="2"/>
        <v>922.38056666666671</v>
      </c>
      <c r="E30" s="2">
        <f t="shared" si="2"/>
        <v>1076.7974666666667</v>
      </c>
      <c r="G30" s="9" t="s">
        <v>27</v>
      </c>
      <c r="H30" s="9"/>
      <c r="I30" s="9"/>
      <c r="J30" s="9"/>
      <c r="K30" s="9"/>
      <c r="L30" s="9"/>
      <c r="M30" s="9"/>
      <c r="N30" s="9"/>
    </row>
    <row r="31" spans="1:14" x14ac:dyDescent="0.3">
      <c r="A31" s="14" t="s">
        <v>35</v>
      </c>
      <c r="B31" s="14"/>
      <c r="C31" s="14"/>
      <c r="D31" s="14"/>
      <c r="E31" s="14"/>
      <c r="H31" s="1" t="s">
        <v>0</v>
      </c>
      <c r="I31" s="1" t="s">
        <v>1</v>
      </c>
      <c r="J31" s="1" t="s">
        <v>2</v>
      </c>
      <c r="K31" s="1" t="s">
        <v>3</v>
      </c>
      <c r="L31" s="1" t="s">
        <v>20</v>
      </c>
      <c r="M31" s="1" t="s">
        <v>21</v>
      </c>
      <c r="N31" s="1" t="s">
        <v>22</v>
      </c>
    </row>
    <row r="32" spans="1:14" x14ac:dyDescent="0.3">
      <c r="B32" t="s">
        <v>0</v>
      </c>
      <c r="C32" t="s">
        <v>1</v>
      </c>
      <c r="D32" t="s">
        <v>2</v>
      </c>
      <c r="E32" t="s">
        <v>3</v>
      </c>
      <c r="G32" t="s">
        <v>16</v>
      </c>
      <c r="H32" s="8">
        <f>(B44+B33+B34)</f>
        <v>32.845454545454544</v>
      </c>
      <c r="I32" s="8">
        <f>(C44+C33+C34)</f>
        <v>129.98016666666666</v>
      </c>
      <c r="J32" s="8">
        <f>(D44+D33+D34)</f>
        <v>88.446933333333334</v>
      </c>
      <c r="K32" s="8">
        <f>(E44+E33+E34)</f>
        <v>87.137333333333316</v>
      </c>
      <c r="L32" s="8">
        <f>(C58+C47+C48)</f>
        <v>116.53536666666669</v>
      </c>
      <c r="M32" s="8">
        <f>(D58+D47+D48)</f>
        <v>99.870066666666645</v>
      </c>
      <c r="N32" s="8">
        <f>(E58+E47+E48)</f>
        <v>83.113833333333318</v>
      </c>
    </row>
    <row r="33" spans="1:14" ht="15.6" x14ac:dyDescent="0.3">
      <c r="A33" s="4" t="s">
        <v>4</v>
      </c>
      <c r="B33" s="2">
        <v>9.4181818181818198</v>
      </c>
      <c r="C33" s="2">
        <v>37.49496666666667</v>
      </c>
      <c r="D33" s="2">
        <v>47.97153333333334</v>
      </c>
      <c r="E33" s="2">
        <v>29.44726666666666</v>
      </c>
      <c r="G33" t="s">
        <v>17</v>
      </c>
      <c r="H33" s="8">
        <f>(B35+B36+B37)</f>
        <v>60.890909090909084</v>
      </c>
      <c r="I33" s="8">
        <f>(C35+C36+C37)</f>
        <v>61.020533333333333</v>
      </c>
      <c r="J33" s="8">
        <f>(D35+D36+D37)</f>
        <v>37.172866666666678</v>
      </c>
      <c r="K33" s="8">
        <f>(E35+E36+E37)</f>
        <v>50.429033333333344</v>
      </c>
      <c r="L33" s="8">
        <f>(C49+C50+C51)</f>
        <v>48.715999999999994</v>
      </c>
      <c r="M33" s="8">
        <f>(D49+D50+D51)</f>
        <v>42.456199999999995</v>
      </c>
      <c r="N33" s="8">
        <f>(E49+E50+E51)</f>
        <v>25.756666666666664</v>
      </c>
    </row>
    <row r="34" spans="1:14" ht="15.6" x14ac:dyDescent="0.3">
      <c r="A34" s="4" t="s">
        <v>5</v>
      </c>
      <c r="B34" s="2">
        <v>17.172727272727272</v>
      </c>
      <c r="C34" s="2">
        <v>53.847633333333313</v>
      </c>
      <c r="D34" s="2">
        <v>20.284833333333331</v>
      </c>
      <c r="E34" s="2">
        <v>37.008833333333321</v>
      </c>
      <c r="G34" t="s">
        <v>18</v>
      </c>
      <c r="H34" s="8">
        <f>(B38+B39+B40)</f>
        <v>171.3909090909091</v>
      </c>
      <c r="I34" s="8">
        <f>(C38+C39+C40)</f>
        <v>113.76376666666667</v>
      </c>
      <c r="J34" s="8">
        <f>(D38+D39+D40)</f>
        <v>156.44123333333329</v>
      </c>
      <c r="K34" s="8">
        <f>(E38+E39+E40)</f>
        <v>169.63910000000001</v>
      </c>
      <c r="L34" s="8">
        <f>(C52+C53+C54)</f>
        <v>178.37809999999996</v>
      </c>
      <c r="M34" s="8">
        <f>(D52+D53+D54)</f>
        <v>161.08389999999997</v>
      </c>
      <c r="N34" s="8">
        <f>(E52+E53+E54)</f>
        <v>267.37746666666658</v>
      </c>
    </row>
    <row r="35" spans="1:14" ht="15.6" x14ac:dyDescent="0.3">
      <c r="A35" s="4" t="s">
        <v>6</v>
      </c>
      <c r="B35" s="2">
        <v>16.472727272727269</v>
      </c>
      <c r="C35" s="2">
        <v>23.370033333333325</v>
      </c>
      <c r="D35" s="2">
        <v>23.423433333333339</v>
      </c>
      <c r="E35" s="2">
        <v>23.312266666666673</v>
      </c>
      <c r="G35" t="s">
        <v>19</v>
      </c>
      <c r="H35" s="8">
        <f>(B41+B42+B43)</f>
        <v>36.009090909090908</v>
      </c>
      <c r="I35" s="8">
        <f>(C41+C42+C43)</f>
        <v>53.199899999999985</v>
      </c>
      <c r="J35" s="8">
        <f>(D41+D42+D43)</f>
        <v>84.696299999999994</v>
      </c>
      <c r="K35" s="8">
        <f>(E41+E42+E43)</f>
        <v>99.706066666666672</v>
      </c>
      <c r="L35" s="8">
        <f>(C55+C56+C57)</f>
        <v>61.06376666666668</v>
      </c>
      <c r="M35" s="8">
        <f>(D55+D56+D57)</f>
        <v>91.394533333333342</v>
      </c>
      <c r="N35" s="8">
        <f>(E55+E56+E57)</f>
        <v>107.86130000000003</v>
      </c>
    </row>
    <row r="36" spans="1:14" ht="15.6" x14ac:dyDescent="0.3">
      <c r="A36" s="4" t="s">
        <v>7</v>
      </c>
      <c r="B36" s="2">
        <v>27.86363636363636</v>
      </c>
      <c r="C36" s="2">
        <v>28.409666666666674</v>
      </c>
      <c r="D36" s="2">
        <v>8.3978666666666673</v>
      </c>
      <c r="E36" s="2">
        <v>17.17253333333333</v>
      </c>
      <c r="G36" s="9" t="s">
        <v>26</v>
      </c>
      <c r="H36" s="13">
        <f>SUM(H32:H35)</f>
        <v>301.13636363636363</v>
      </c>
      <c r="I36" s="13">
        <f t="shared" ref="I36:N36" si="3">SUM(I32:I35)</f>
        <v>357.96436666666659</v>
      </c>
      <c r="J36" s="13">
        <f t="shared" si="3"/>
        <v>366.75733333333329</v>
      </c>
      <c r="K36" s="13">
        <f t="shared" si="3"/>
        <v>406.91153333333335</v>
      </c>
      <c r="L36" s="13">
        <f t="shared" si="3"/>
        <v>404.6932333333333</v>
      </c>
      <c r="M36" s="13">
        <f t="shared" si="3"/>
        <v>394.80469999999997</v>
      </c>
      <c r="N36" s="13">
        <f t="shared" si="3"/>
        <v>484.1092666666666</v>
      </c>
    </row>
    <row r="37" spans="1:14" ht="15.6" x14ac:dyDescent="0.3">
      <c r="A37" s="4" t="s">
        <v>8</v>
      </c>
      <c r="B37" s="2">
        <v>16.554545454545455</v>
      </c>
      <c r="C37" s="2">
        <v>9.2408333333333363</v>
      </c>
      <c r="D37" s="2">
        <v>5.3515666666666668</v>
      </c>
      <c r="E37" s="2">
        <v>9.9442333333333348</v>
      </c>
      <c r="H37" s="1" t="s">
        <v>0</v>
      </c>
      <c r="I37" s="1" t="s">
        <v>1</v>
      </c>
      <c r="J37" s="1" t="s">
        <v>2</v>
      </c>
      <c r="K37" s="1" t="s">
        <v>3</v>
      </c>
      <c r="L37" s="1" t="s">
        <v>20</v>
      </c>
      <c r="M37" s="1" t="s">
        <v>21</v>
      </c>
      <c r="N37" s="1" t="s">
        <v>22</v>
      </c>
    </row>
    <row r="38" spans="1:14" ht="15.6" x14ac:dyDescent="0.3">
      <c r="A38" s="4" t="s">
        <v>9</v>
      </c>
      <c r="B38" s="2">
        <v>26.872727272727264</v>
      </c>
      <c r="C38" s="2">
        <v>21.201799999999995</v>
      </c>
      <c r="D38" s="2">
        <v>25.515933333333319</v>
      </c>
      <c r="E38" s="2">
        <v>23.627933333333335</v>
      </c>
      <c r="G38" t="s">
        <v>16</v>
      </c>
      <c r="H38" s="1"/>
      <c r="I38" s="2">
        <f>I32-H32</f>
        <v>97.134712121212118</v>
      </c>
      <c r="J38" s="2">
        <f>J32-H32</f>
        <v>55.60147878787879</v>
      </c>
      <c r="K38" s="2">
        <f>K32-H32</f>
        <v>54.291878787878773</v>
      </c>
      <c r="L38" s="2">
        <f>L32-H32</f>
        <v>83.689912121212146</v>
      </c>
      <c r="M38" s="2">
        <f>M32-H32</f>
        <v>67.024612121212101</v>
      </c>
      <c r="N38" s="2">
        <f>N32-H32</f>
        <v>50.268378787878774</v>
      </c>
    </row>
    <row r="39" spans="1:14" ht="15.6" x14ac:dyDescent="0.3">
      <c r="A39" s="4" t="s">
        <v>10</v>
      </c>
      <c r="B39" s="2">
        <v>87.454545454545467</v>
      </c>
      <c r="C39" s="2">
        <v>41.436633333333347</v>
      </c>
      <c r="D39" s="2">
        <v>56.477599999999974</v>
      </c>
      <c r="E39" s="2">
        <v>67.012899999999988</v>
      </c>
      <c r="G39" t="s">
        <v>17</v>
      </c>
      <c r="H39" s="1"/>
      <c r="I39" s="2">
        <f t="shared" ref="I39:I41" si="4">I33-H33</f>
        <v>0.1296242424242493</v>
      </c>
      <c r="J39" s="2">
        <f t="shared" ref="J39:J41" si="5">J33-H33</f>
        <v>-23.718042424242405</v>
      </c>
      <c r="K39" s="2">
        <f t="shared" ref="K39:K41" si="6">K33-H33</f>
        <v>-10.46187575757574</v>
      </c>
      <c r="L39" s="2">
        <f>L33-H33</f>
        <v>-12.17490909090909</v>
      </c>
      <c r="M39" s="2">
        <f>M33-H33</f>
        <v>-18.434709090909088</v>
      </c>
      <c r="N39" s="2">
        <f>N33-H33</f>
        <v>-35.134242424242416</v>
      </c>
    </row>
    <row r="40" spans="1:14" ht="15.6" x14ac:dyDescent="0.3">
      <c r="A40" s="4" t="s">
        <v>11</v>
      </c>
      <c r="B40" s="2">
        <v>57.06363636363637</v>
      </c>
      <c r="C40" s="2">
        <v>51.12533333333333</v>
      </c>
      <c r="D40" s="2">
        <v>74.447700000000012</v>
      </c>
      <c r="E40" s="2">
        <v>78.998266666666694</v>
      </c>
      <c r="G40" t="s">
        <v>18</v>
      </c>
      <c r="H40" s="1"/>
      <c r="I40" s="2">
        <f t="shared" si="4"/>
        <v>-57.627142424242436</v>
      </c>
      <c r="J40" s="2">
        <f t="shared" si="5"/>
        <v>-14.949675757575818</v>
      </c>
      <c r="K40" s="2">
        <f t="shared" si="6"/>
        <v>-1.7518090909090915</v>
      </c>
      <c r="L40" s="2">
        <f>L34-H34</f>
        <v>6.9871909090908559</v>
      </c>
      <c r="M40" s="2">
        <f>M34-H34</f>
        <v>-10.307009090909133</v>
      </c>
      <c r="N40" s="2">
        <f>N34-H34</f>
        <v>95.986557575757473</v>
      </c>
    </row>
    <row r="41" spans="1:14" ht="15.6" x14ac:dyDescent="0.3">
      <c r="A41" s="4" t="s">
        <v>12</v>
      </c>
      <c r="B41" s="2">
        <v>33.190909090909095</v>
      </c>
      <c r="C41" s="2">
        <v>38.692433333333319</v>
      </c>
      <c r="D41" s="2">
        <v>57.580899999999993</v>
      </c>
      <c r="E41" s="2">
        <v>80.467133333333337</v>
      </c>
      <c r="G41" t="s">
        <v>19</v>
      </c>
      <c r="H41" s="1"/>
      <c r="I41" s="2">
        <f t="shared" si="4"/>
        <v>17.190809090909077</v>
      </c>
      <c r="J41" s="2">
        <f t="shared" si="5"/>
        <v>48.687209090909086</v>
      </c>
      <c r="K41" s="2">
        <f t="shared" si="6"/>
        <v>63.696975757575764</v>
      </c>
      <c r="L41" s="2">
        <f>L35-H35</f>
        <v>25.054675757575772</v>
      </c>
      <c r="M41" s="2">
        <f>M35-H35</f>
        <v>55.385442424242434</v>
      </c>
      <c r="N41" s="2">
        <f>N35-H35</f>
        <v>71.852209090909128</v>
      </c>
    </row>
    <row r="42" spans="1:14" ht="15.6" x14ac:dyDescent="0.3">
      <c r="A42" s="4" t="s">
        <v>13</v>
      </c>
      <c r="B42" s="2">
        <v>1.4090909090909092</v>
      </c>
      <c r="C42" s="2">
        <v>3.5051000000000001</v>
      </c>
      <c r="D42" s="2">
        <v>12.0062</v>
      </c>
      <c r="E42" s="2">
        <v>10.845233333333335</v>
      </c>
      <c r="G42" t="s">
        <v>44</v>
      </c>
      <c r="I42" s="2">
        <f>I36-H36</f>
        <v>56.828003030302966</v>
      </c>
      <c r="J42" s="11">
        <f>J36-H36</f>
        <v>65.620969696969667</v>
      </c>
      <c r="K42" s="11">
        <f>K36-H36</f>
        <v>105.77516969696973</v>
      </c>
      <c r="L42" s="11">
        <f>L36-H36</f>
        <v>103.55686969696967</v>
      </c>
      <c r="M42" s="11">
        <f>M36-H36</f>
        <v>93.668336363636342</v>
      </c>
      <c r="N42" s="11">
        <f>N36-H36</f>
        <v>182.97290303030297</v>
      </c>
    </row>
    <row r="43" spans="1:14" ht="15.6" x14ac:dyDescent="0.3">
      <c r="A43" s="4" t="s">
        <v>14</v>
      </c>
      <c r="B43" s="2">
        <v>1.4090909090909092</v>
      </c>
      <c r="C43" s="2">
        <v>11.002366666666665</v>
      </c>
      <c r="D43" s="2">
        <v>15.109200000000003</v>
      </c>
      <c r="E43" s="2">
        <v>8.3937000000000008</v>
      </c>
    </row>
    <row r="44" spans="1:14" ht="15.6" x14ac:dyDescent="0.3">
      <c r="A44" s="4" t="s">
        <v>15</v>
      </c>
      <c r="B44" s="2">
        <v>6.254545454545454</v>
      </c>
      <c r="C44" s="2">
        <v>38.637566666666672</v>
      </c>
      <c r="D44" s="2">
        <v>20.190566666666665</v>
      </c>
      <c r="E44" s="2">
        <v>20.681233333333338</v>
      </c>
    </row>
    <row r="45" spans="1:14" x14ac:dyDescent="0.3">
      <c r="A45" s="14" t="s">
        <v>36</v>
      </c>
      <c r="B45" s="14"/>
      <c r="C45" s="14"/>
      <c r="D45" s="14"/>
      <c r="E45" s="14"/>
    </row>
    <row r="46" spans="1:14" x14ac:dyDescent="0.3">
      <c r="B46" s="2" t="s">
        <v>0</v>
      </c>
      <c r="C46" s="2" t="s">
        <v>20</v>
      </c>
      <c r="D46" s="2" t="s">
        <v>21</v>
      </c>
      <c r="E46" s="2" t="s">
        <v>22</v>
      </c>
    </row>
    <row r="47" spans="1:14" ht="15.6" x14ac:dyDescent="0.3">
      <c r="A47" s="4" t="s">
        <v>4</v>
      </c>
      <c r="B47" s="2">
        <v>9.4181818181818198</v>
      </c>
      <c r="C47" s="2">
        <v>38.276600000000009</v>
      </c>
      <c r="D47" s="2">
        <v>34.469033333333329</v>
      </c>
      <c r="E47" s="2">
        <v>32.194433333333322</v>
      </c>
    </row>
    <row r="48" spans="1:14" ht="15.6" x14ac:dyDescent="0.3">
      <c r="A48" s="4" t="s">
        <v>5</v>
      </c>
      <c r="B48" s="2">
        <v>17.172727272727272</v>
      </c>
      <c r="C48" s="2">
        <v>52.610200000000006</v>
      </c>
      <c r="D48" s="2">
        <v>34.251999999999995</v>
      </c>
      <c r="E48" s="2">
        <v>26.612333333333321</v>
      </c>
    </row>
    <row r="49" spans="1:14" ht="15.6" x14ac:dyDescent="0.3">
      <c r="A49" s="4" t="s">
        <v>6</v>
      </c>
      <c r="B49" s="2">
        <v>16.472727272727269</v>
      </c>
      <c r="C49" s="2">
        <v>18.797900000000002</v>
      </c>
      <c r="D49" s="2">
        <v>25.458166666666667</v>
      </c>
      <c r="E49" s="2">
        <v>17.217599999999997</v>
      </c>
    </row>
    <row r="50" spans="1:14" ht="15.6" x14ac:dyDescent="0.3">
      <c r="A50" s="4" t="s">
        <v>7</v>
      </c>
      <c r="B50" s="2">
        <v>27.86363636363636</v>
      </c>
      <c r="C50" s="2">
        <v>19.868433333333329</v>
      </c>
      <c r="D50" s="2">
        <v>12.019199999999994</v>
      </c>
      <c r="E50" s="2">
        <v>4.8571</v>
      </c>
    </row>
    <row r="51" spans="1:14" ht="15.6" x14ac:dyDescent="0.3">
      <c r="A51" s="4" t="s">
        <v>8</v>
      </c>
      <c r="B51" s="2">
        <v>16.554545454545455</v>
      </c>
      <c r="C51" s="2">
        <v>10.049666666666665</v>
      </c>
      <c r="D51" s="2">
        <v>4.9788333333333314</v>
      </c>
      <c r="E51" s="2">
        <v>3.6819666666666673</v>
      </c>
    </row>
    <row r="52" spans="1:14" ht="15.6" x14ac:dyDescent="0.3">
      <c r="A52" s="4" t="s">
        <v>9</v>
      </c>
      <c r="B52" s="2">
        <v>26.872727272727264</v>
      </c>
      <c r="C52" s="2">
        <v>35.068266666666659</v>
      </c>
      <c r="D52" s="2">
        <v>11.599033333333329</v>
      </c>
      <c r="E52" s="2">
        <v>17.182233333333329</v>
      </c>
    </row>
    <row r="53" spans="1:14" ht="15.6" x14ac:dyDescent="0.3">
      <c r="A53" s="4" t="s">
        <v>10</v>
      </c>
      <c r="B53" s="2">
        <v>87.454545454545467</v>
      </c>
      <c r="C53" s="2">
        <v>56.158366666666652</v>
      </c>
      <c r="D53" s="2">
        <v>67.623333333333335</v>
      </c>
      <c r="E53" s="2">
        <v>143.79256666666663</v>
      </c>
    </row>
    <row r="54" spans="1:14" ht="15.6" x14ac:dyDescent="0.3">
      <c r="A54" s="4" t="s">
        <v>11</v>
      </c>
      <c r="B54" s="2">
        <v>57.06363636363637</v>
      </c>
      <c r="C54" s="2">
        <v>87.151466666666636</v>
      </c>
      <c r="D54" s="2">
        <v>81.861533333333313</v>
      </c>
      <c r="E54" s="2">
        <v>106.40266666666665</v>
      </c>
    </row>
    <row r="55" spans="1:14" ht="15.6" x14ac:dyDescent="0.3">
      <c r="A55" s="4" t="s">
        <v>12</v>
      </c>
      <c r="B55" s="2">
        <v>33.190909090909095</v>
      </c>
      <c r="C55" s="2">
        <v>45.366633333333347</v>
      </c>
      <c r="D55" s="2">
        <v>76.613033333333348</v>
      </c>
      <c r="E55" s="2">
        <v>74.866866666666681</v>
      </c>
    </row>
    <row r="56" spans="1:14" ht="15.6" x14ac:dyDescent="0.3">
      <c r="A56" s="4" t="s">
        <v>13</v>
      </c>
      <c r="B56" s="2">
        <v>1.4090909090909092</v>
      </c>
      <c r="C56" s="2">
        <v>12.615766666666667</v>
      </c>
      <c r="D56" s="2">
        <v>3.5708666666666669</v>
      </c>
      <c r="E56" s="2">
        <v>5.2552666666666674</v>
      </c>
    </row>
    <row r="57" spans="1:14" ht="15.6" x14ac:dyDescent="0.3">
      <c r="A57" s="4" t="s">
        <v>14</v>
      </c>
      <c r="B57" s="2">
        <v>1.4090909090909092</v>
      </c>
      <c r="C57" s="2">
        <v>3.0813666666666668</v>
      </c>
      <c r="D57" s="2">
        <v>11.210633333333334</v>
      </c>
      <c r="E57" s="2">
        <v>27.739166666666673</v>
      </c>
    </row>
    <row r="58" spans="1:14" ht="15.6" x14ac:dyDescent="0.3">
      <c r="A58" s="4" t="s">
        <v>15</v>
      </c>
      <c r="B58" s="2">
        <v>6.254545454545454</v>
      </c>
      <c r="C58" s="2">
        <v>25.648566666666671</v>
      </c>
      <c r="D58" s="2">
        <v>31.149033333333325</v>
      </c>
      <c r="E58" s="2">
        <v>24.307066666666667</v>
      </c>
    </row>
    <row r="59" spans="1:14" ht="15.6" x14ac:dyDescent="0.3">
      <c r="A59" s="4"/>
      <c r="B59" s="2"/>
      <c r="C59" s="2"/>
      <c r="D59" s="2"/>
      <c r="E59" s="2"/>
      <c r="G59" s="9" t="s">
        <v>27</v>
      </c>
      <c r="H59" s="9"/>
      <c r="I59" s="9"/>
      <c r="J59" s="9"/>
      <c r="K59" s="9"/>
      <c r="L59" s="9"/>
      <c r="M59" s="9"/>
      <c r="N59" s="9"/>
    </row>
    <row r="60" spans="1:14" x14ac:dyDescent="0.3">
      <c r="A60" s="14" t="s">
        <v>42</v>
      </c>
      <c r="B60" s="14"/>
      <c r="C60" s="14"/>
      <c r="D60" s="14"/>
      <c r="E60" s="14"/>
      <c r="H60" s="1" t="s">
        <v>0</v>
      </c>
      <c r="I60" s="1" t="s">
        <v>1</v>
      </c>
      <c r="J60" s="1" t="s">
        <v>2</v>
      </c>
      <c r="K60" s="1" t="s">
        <v>3</v>
      </c>
      <c r="L60" s="1" t="s">
        <v>20</v>
      </c>
      <c r="M60" s="1" t="s">
        <v>21</v>
      </c>
      <c r="N60" s="1" t="s">
        <v>22</v>
      </c>
    </row>
    <row r="61" spans="1:14" x14ac:dyDescent="0.3">
      <c r="B61" t="s">
        <v>0</v>
      </c>
      <c r="C61" t="s">
        <v>1</v>
      </c>
      <c r="D61" t="s">
        <v>2</v>
      </c>
      <c r="E61" t="s">
        <v>3</v>
      </c>
      <c r="G61" t="s">
        <v>16</v>
      </c>
      <c r="H61" s="8">
        <f>(B73+B62+B63)</f>
        <v>70.9166666666667</v>
      </c>
      <c r="I61" s="8">
        <f>(C73+C62+C63)</f>
        <v>112.49893333333334</v>
      </c>
      <c r="J61" s="8">
        <f>(D73+D62+D63)</f>
        <v>157.3329</v>
      </c>
      <c r="K61" s="8">
        <f>(E73+E62+E63)</f>
        <v>109.16369999999998</v>
      </c>
      <c r="L61" s="8">
        <f>(C88+C77+C78)</f>
        <v>131.86010000000002</v>
      </c>
      <c r="M61" s="8">
        <f>(D88+D77+D78)</f>
        <v>123.83296666666666</v>
      </c>
      <c r="N61" s="8">
        <f>(E88+E77+E78)</f>
        <v>101.75953333333331</v>
      </c>
    </row>
    <row r="62" spans="1:14" ht="15.6" x14ac:dyDescent="0.3">
      <c r="A62" s="4" t="s">
        <v>4</v>
      </c>
      <c r="B62" s="2">
        <v>21.093333333333337</v>
      </c>
      <c r="C62" s="2">
        <v>52.266000000000005</v>
      </c>
      <c r="D62" s="2">
        <v>56.138033333333333</v>
      </c>
      <c r="E62" s="2">
        <v>31.576899999999998</v>
      </c>
      <c r="G62" t="s">
        <v>17</v>
      </c>
      <c r="H62" s="8">
        <f>(B64+B65+B66)</f>
        <v>104.1733333333334</v>
      </c>
      <c r="I62" s="8">
        <f>(C64+C65+C66)</f>
        <v>101.75030000000002</v>
      </c>
      <c r="J62" s="8">
        <f>(D64+D65+D66)</f>
        <v>84.800966666666667</v>
      </c>
      <c r="K62" s="8">
        <f>(E64+E65+E66)</f>
        <v>58.523166666666654</v>
      </c>
      <c r="L62" s="8">
        <f>(C79+C80+C81)</f>
        <v>56.183366666666672</v>
      </c>
      <c r="M62" s="8">
        <f>(D79+D80+D81)</f>
        <v>99.084133333333355</v>
      </c>
      <c r="N62" s="8">
        <f>(E79+E80+E81)</f>
        <v>102.81143333333333</v>
      </c>
    </row>
    <row r="63" spans="1:14" ht="15.6" x14ac:dyDescent="0.3">
      <c r="A63" s="4" t="s">
        <v>5</v>
      </c>
      <c r="B63" s="2">
        <v>35.576666666666696</v>
      </c>
      <c r="C63" s="2">
        <v>43.019566666666677</v>
      </c>
      <c r="D63" s="2">
        <v>70.039766666666637</v>
      </c>
      <c r="E63" s="2">
        <v>58.206433333333301</v>
      </c>
      <c r="G63" t="s">
        <v>18</v>
      </c>
      <c r="H63" s="8">
        <f>(B67+B68+B69)</f>
        <v>237.86333333333326</v>
      </c>
      <c r="I63" s="8">
        <f>(C67+C68+C69)</f>
        <v>544.72780000000012</v>
      </c>
      <c r="J63" s="8">
        <f>(D67+D68+D69)</f>
        <v>537.59449999999993</v>
      </c>
      <c r="K63" s="8">
        <f>(E67+E68+E69)</f>
        <v>535.69803333333334</v>
      </c>
      <c r="L63" s="8">
        <f>(C82+C83+C84)</f>
        <v>481.29666666666674</v>
      </c>
      <c r="M63" s="8">
        <f>(D82+D83+D84)</f>
        <v>492.35806666666673</v>
      </c>
      <c r="N63" s="8">
        <f>(E82+E83+E84)</f>
        <v>522.24560000000008</v>
      </c>
    </row>
    <row r="64" spans="1:14" ht="15.6" x14ac:dyDescent="0.3">
      <c r="A64" s="4" t="s">
        <v>6</v>
      </c>
      <c r="B64" s="2">
        <v>38.726666666666709</v>
      </c>
      <c r="C64" s="2">
        <v>87.197900000000018</v>
      </c>
      <c r="D64" s="2">
        <v>63.681166666666662</v>
      </c>
      <c r="E64" s="2">
        <v>40.461766666666662</v>
      </c>
      <c r="G64" t="s">
        <v>19</v>
      </c>
      <c r="H64" s="8">
        <f>(B70+B71+B72)</f>
        <v>52.003333333333337</v>
      </c>
      <c r="I64" s="8">
        <f>(C70+C71+C72)</f>
        <v>88.849266666666637</v>
      </c>
      <c r="J64" s="8">
        <f>(D70+D71+D72)</f>
        <v>99.561300000000017</v>
      </c>
      <c r="K64" s="8">
        <f>(E70+E71+E72)</f>
        <v>36.357233333333333</v>
      </c>
      <c r="L64" s="8">
        <f>(C85+C86+C87)</f>
        <v>211.34933333333336</v>
      </c>
      <c r="M64" s="8">
        <f>(D85+D86+D87)</f>
        <v>207.1054</v>
      </c>
      <c r="N64" s="8">
        <f>(E85+E86+E87)</f>
        <v>55.861733333333333</v>
      </c>
    </row>
    <row r="65" spans="1:14" ht="15.6" x14ac:dyDescent="0.3">
      <c r="A65" s="4" t="s">
        <v>7</v>
      </c>
      <c r="B65" s="2">
        <v>39.42333333333336</v>
      </c>
      <c r="C65" s="2">
        <v>11.680700000000003</v>
      </c>
      <c r="D65" s="2">
        <v>7.4679000000000011</v>
      </c>
      <c r="E65" s="2">
        <v>0</v>
      </c>
      <c r="G65" s="9" t="s">
        <v>26</v>
      </c>
      <c r="H65" s="13">
        <f>SUM(H61:H64)</f>
        <v>464.95666666666671</v>
      </c>
      <c r="I65" s="13">
        <f t="shared" ref="I65:M65" si="7">SUM(I61:I64)</f>
        <v>847.82630000000006</v>
      </c>
      <c r="J65" s="13">
        <f t="shared" si="7"/>
        <v>879.28966666666656</v>
      </c>
      <c r="K65" s="13">
        <f t="shared" si="7"/>
        <v>739.7421333333333</v>
      </c>
      <c r="L65" s="13">
        <f t="shared" si="7"/>
        <v>880.6894666666667</v>
      </c>
      <c r="M65" s="13">
        <f t="shared" si="7"/>
        <v>922.38056666666682</v>
      </c>
      <c r="N65" s="13">
        <f>SUM(N61:N64)</f>
        <v>782.67830000000004</v>
      </c>
    </row>
    <row r="66" spans="1:14" ht="15.6" x14ac:dyDescent="0.3">
      <c r="A66" s="4" t="s">
        <v>8</v>
      </c>
      <c r="B66" s="2">
        <v>26.023333333333337</v>
      </c>
      <c r="C66" s="2">
        <v>2.8717000000000001</v>
      </c>
      <c r="D66" s="2">
        <v>13.651900000000001</v>
      </c>
      <c r="E66" s="2">
        <v>18.061399999999995</v>
      </c>
      <c r="H66" s="1" t="s">
        <v>0</v>
      </c>
      <c r="I66" s="1" t="s">
        <v>1</v>
      </c>
      <c r="J66" s="1" t="s">
        <v>2</v>
      </c>
      <c r="K66" s="1" t="s">
        <v>3</v>
      </c>
      <c r="L66" s="1" t="s">
        <v>20</v>
      </c>
      <c r="M66" s="1" t="s">
        <v>21</v>
      </c>
      <c r="N66" s="1" t="s">
        <v>22</v>
      </c>
    </row>
    <row r="67" spans="1:14" ht="15.6" x14ac:dyDescent="0.3">
      <c r="A67" s="4" t="s">
        <v>9</v>
      </c>
      <c r="B67" s="2">
        <v>43.313333333333354</v>
      </c>
      <c r="C67" s="2">
        <v>46.572966666666659</v>
      </c>
      <c r="D67" s="2">
        <v>83.47383333333336</v>
      </c>
      <c r="E67" s="2">
        <v>100.92503333333337</v>
      </c>
      <c r="G67" t="s">
        <v>16</v>
      </c>
      <c r="H67" s="1"/>
      <c r="I67" s="2">
        <f>I61-H61</f>
        <v>41.582266666666641</v>
      </c>
      <c r="J67" s="2">
        <f>J61-H61</f>
        <v>86.416233333333295</v>
      </c>
      <c r="K67" s="2">
        <f>K61-H61</f>
        <v>38.247033333333277</v>
      </c>
      <c r="L67" s="2">
        <f>L61-H61</f>
        <v>60.943433333333317</v>
      </c>
      <c r="M67" s="2">
        <f>M61-H61</f>
        <v>52.916299999999964</v>
      </c>
      <c r="N67" s="2">
        <f>N61-H61</f>
        <v>30.842866666666609</v>
      </c>
    </row>
    <row r="68" spans="1:14" ht="15.6" x14ac:dyDescent="0.3">
      <c r="A68" s="4" t="s">
        <v>10</v>
      </c>
      <c r="B68" s="2">
        <v>113.63333333333321</v>
      </c>
      <c r="C68" s="2">
        <v>153.80336666666673</v>
      </c>
      <c r="D68" s="2">
        <v>224.50443333333322</v>
      </c>
      <c r="E68" s="2">
        <v>321.32046666666662</v>
      </c>
      <c r="G68" t="s">
        <v>17</v>
      </c>
      <c r="H68" s="1"/>
      <c r="I68" s="2">
        <f t="shared" ref="I68:I70" si="8">I62-H62</f>
        <v>-2.4230333333333789</v>
      </c>
      <c r="J68" s="2">
        <f t="shared" ref="J68:J70" si="9">J62-H62</f>
        <v>-19.372366666666736</v>
      </c>
      <c r="K68" s="2">
        <f t="shared" ref="K68:K70" si="10">K62-H62</f>
        <v>-45.650166666666749</v>
      </c>
      <c r="L68" s="2">
        <f>L62-H62</f>
        <v>-47.989966666666731</v>
      </c>
      <c r="M68" s="2">
        <f>M62-H62</f>
        <v>-5.0892000000000479</v>
      </c>
      <c r="N68" s="2">
        <f>N62-H62</f>
        <v>-1.3619000000000767</v>
      </c>
    </row>
    <row r="69" spans="1:14" ht="15.6" x14ac:dyDescent="0.3">
      <c r="A69" s="4" t="s">
        <v>11</v>
      </c>
      <c r="B69" s="2">
        <v>80.916666666666686</v>
      </c>
      <c r="C69" s="2">
        <v>344.35146666666679</v>
      </c>
      <c r="D69" s="2">
        <v>229.61623333333338</v>
      </c>
      <c r="E69" s="2">
        <v>113.45253333333332</v>
      </c>
      <c r="G69" t="s">
        <v>18</v>
      </c>
      <c r="H69" s="1"/>
      <c r="I69" s="2">
        <f t="shared" si="8"/>
        <v>306.86446666666689</v>
      </c>
      <c r="J69" s="2">
        <f t="shared" si="9"/>
        <v>299.7311666666667</v>
      </c>
      <c r="K69" s="2">
        <f t="shared" si="10"/>
        <v>297.83470000000011</v>
      </c>
      <c r="L69" s="2">
        <f>L63-H63</f>
        <v>243.43333333333348</v>
      </c>
      <c r="M69" s="2">
        <f>M63-H63</f>
        <v>254.49473333333347</v>
      </c>
      <c r="N69" s="2">
        <f>N63-H63</f>
        <v>284.38226666666685</v>
      </c>
    </row>
    <row r="70" spans="1:14" ht="15.6" x14ac:dyDescent="0.3">
      <c r="A70" s="4" t="s">
        <v>12</v>
      </c>
      <c r="B70" s="2">
        <v>34.6</v>
      </c>
      <c r="C70" s="2">
        <v>40.702566666666641</v>
      </c>
      <c r="D70" s="2">
        <v>52.253366666666672</v>
      </c>
      <c r="E70" s="2">
        <v>20.571566666666666</v>
      </c>
      <c r="G70" t="s">
        <v>19</v>
      </c>
      <c r="H70" s="1"/>
      <c r="I70" s="2">
        <f t="shared" si="8"/>
        <v>36.845933333333299</v>
      </c>
      <c r="J70" s="2">
        <f t="shared" si="9"/>
        <v>47.55796666666668</v>
      </c>
      <c r="K70" s="2">
        <f t="shared" si="10"/>
        <v>-15.646100000000004</v>
      </c>
      <c r="L70" s="2">
        <f>L64-H64</f>
        <v>159.34600000000003</v>
      </c>
      <c r="M70" s="2">
        <f>M64-H64</f>
        <v>155.10206666666667</v>
      </c>
      <c r="N70" s="2">
        <f>N64-H64</f>
        <v>3.8583999999999961</v>
      </c>
    </row>
    <row r="71" spans="1:14" ht="15.6" x14ac:dyDescent="0.3">
      <c r="A71" s="4" t="s">
        <v>13</v>
      </c>
      <c r="B71" s="2">
        <v>9.3633333333333333</v>
      </c>
      <c r="C71" s="2">
        <v>26.12106666666666</v>
      </c>
      <c r="D71" s="2">
        <v>24.313633333333346</v>
      </c>
      <c r="E71" s="2">
        <v>7.8188666666666684</v>
      </c>
      <c r="G71" t="s">
        <v>44</v>
      </c>
      <c r="I71" s="8">
        <f>I65-H65</f>
        <v>382.86963333333335</v>
      </c>
      <c r="J71" s="8">
        <f>J65-H65</f>
        <v>414.33299999999986</v>
      </c>
      <c r="K71" s="8">
        <f>K65-H65</f>
        <v>274.78546666666659</v>
      </c>
      <c r="L71" s="8">
        <f>L65-H65</f>
        <v>415.7328</v>
      </c>
      <c r="M71" s="8">
        <f>M65-H65</f>
        <v>457.42390000000012</v>
      </c>
      <c r="N71" s="8">
        <f>N65-H65</f>
        <v>317.72163333333333</v>
      </c>
    </row>
    <row r="72" spans="1:14" ht="15.6" x14ac:dyDescent="0.3">
      <c r="A72" s="4" t="s">
        <v>14</v>
      </c>
      <c r="B72" s="2">
        <v>8.0399999999999974</v>
      </c>
      <c r="C72" s="2">
        <v>22.025633333333339</v>
      </c>
      <c r="D72" s="2">
        <v>22.994300000000003</v>
      </c>
      <c r="E72" s="2">
        <v>7.9668000000000001</v>
      </c>
    </row>
    <row r="73" spans="1:14" ht="15.6" x14ac:dyDescent="0.3">
      <c r="A73" s="4" t="s">
        <v>15</v>
      </c>
      <c r="B73" s="2">
        <v>14.246666666666666</v>
      </c>
      <c r="C73" s="2">
        <v>17.213366666666666</v>
      </c>
      <c r="D73" s="2">
        <v>31.155100000000004</v>
      </c>
      <c r="E73" s="2">
        <v>19.380366666666667</v>
      </c>
    </row>
    <row r="74" spans="1:14" ht="15.6" x14ac:dyDescent="0.3">
      <c r="A74" s="4"/>
      <c r="B74" s="2">
        <f>SUM(B62:B73)</f>
        <v>464.95666666666676</v>
      </c>
      <c r="C74" s="2">
        <f t="shared" ref="C74:E74" si="11">SUM(C62:C73)</f>
        <v>847.82630000000017</v>
      </c>
      <c r="D74" s="2">
        <f t="shared" si="11"/>
        <v>879.28966666666656</v>
      </c>
      <c r="E74" s="2">
        <f t="shared" si="11"/>
        <v>739.74213333333319</v>
      </c>
    </row>
    <row r="75" spans="1:14" x14ac:dyDescent="0.3">
      <c r="A75" s="14" t="s">
        <v>43</v>
      </c>
      <c r="B75" s="14"/>
      <c r="C75" s="14"/>
      <c r="D75" s="14"/>
      <c r="E75" s="14"/>
    </row>
    <row r="76" spans="1:14" x14ac:dyDescent="0.3">
      <c r="B76" s="2" t="s">
        <v>0</v>
      </c>
      <c r="C76" s="2" t="s">
        <v>20</v>
      </c>
      <c r="D76" s="2" t="s">
        <v>21</v>
      </c>
      <c r="E76" s="2" t="s">
        <v>22</v>
      </c>
    </row>
    <row r="77" spans="1:14" ht="15.6" x14ac:dyDescent="0.3">
      <c r="A77" s="4" t="s">
        <v>4</v>
      </c>
      <c r="B77" s="2">
        <v>21.093333333333337</v>
      </c>
      <c r="C77" s="2">
        <v>27.213099999999994</v>
      </c>
      <c r="D77" s="2">
        <v>45.800766666666668</v>
      </c>
      <c r="E77" s="2">
        <v>56.748866666666657</v>
      </c>
    </row>
    <row r="78" spans="1:14" ht="15.6" x14ac:dyDescent="0.3">
      <c r="A78" s="4" t="s">
        <v>5</v>
      </c>
      <c r="B78" s="2">
        <v>35.576666666666696</v>
      </c>
      <c r="C78" s="2">
        <v>76.922333333333356</v>
      </c>
      <c r="D78" s="2">
        <v>53.785900000000005</v>
      </c>
      <c r="E78" s="2">
        <v>30.91419999999999</v>
      </c>
    </row>
    <row r="79" spans="1:14" ht="15.6" x14ac:dyDescent="0.3">
      <c r="A79" s="4" t="s">
        <v>6</v>
      </c>
      <c r="B79" s="2">
        <v>38.726666666666709</v>
      </c>
      <c r="C79" s="2">
        <v>14.908166666666675</v>
      </c>
      <c r="D79" s="2">
        <v>25.809900000000003</v>
      </c>
      <c r="E79" s="2">
        <v>51.607299999999995</v>
      </c>
    </row>
    <row r="80" spans="1:14" ht="15.6" x14ac:dyDescent="0.3">
      <c r="A80" s="4" t="s">
        <v>7</v>
      </c>
      <c r="B80" s="2">
        <v>39.42333333333336</v>
      </c>
      <c r="C80" s="2">
        <v>17.742333333333328</v>
      </c>
      <c r="D80" s="2">
        <v>23.873199999999986</v>
      </c>
      <c r="E80" s="2">
        <v>34.222999999999992</v>
      </c>
    </row>
    <row r="81" spans="1:14" ht="15.6" x14ac:dyDescent="0.3">
      <c r="A81" s="4" t="s">
        <v>8</v>
      </c>
      <c r="B81" s="2">
        <v>26.023333333333337</v>
      </c>
      <c r="C81" s="2">
        <v>23.532866666666667</v>
      </c>
      <c r="D81" s="2">
        <v>49.401033333333366</v>
      </c>
      <c r="E81" s="2">
        <v>16.981133333333336</v>
      </c>
    </row>
    <row r="82" spans="1:14" ht="15.6" x14ac:dyDescent="0.3">
      <c r="A82" s="4" t="s">
        <v>9</v>
      </c>
      <c r="B82" s="2">
        <v>43.313333333333354</v>
      </c>
      <c r="C82" s="2">
        <v>85.938366666666624</v>
      </c>
      <c r="D82" s="2">
        <v>137.45720000000003</v>
      </c>
      <c r="E82" s="2">
        <v>90.874233333333407</v>
      </c>
    </row>
    <row r="83" spans="1:14" ht="15.6" x14ac:dyDescent="0.3">
      <c r="A83" s="4" t="s">
        <v>10</v>
      </c>
      <c r="B83" s="2">
        <v>113.63333333333321</v>
      </c>
      <c r="C83" s="2">
        <v>186.38633333333325</v>
      </c>
      <c r="D83" s="2">
        <v>195.99496666666676</v>
      </c>
      <c r="E83" s="2">
        <v>149.54963333333342</v>
      </c>
    </row>
    <row r="84" spans="1:14" ht="15.6" x14ac:dyDescent="0.3">
      <c r="A84" s="4" t="s">
        <v>11</v>
      </c>
      <c r="B84" s="2">
        <v>80.916666666666686</v>
      </c>
      <c r="C84" s="2">
        <v>208.97196666666684</v>
      </c>
      <c r="D84" s="2">
        <v>158.90589999999992</v>
      </c>
      <c r="E84" s="2">
        <v>281.82173333333327</v>
      </c>
    </row>
    <row r="85" spans="1:14" ht="15.6" x14ac:dyDescent="0.3">
      <c r="A85" s="4" t="s">
        <v>12</v>
      </c>
      <c r="B85" s="2">
        <v>34.6</v>
      </c>
      <c r="C85" s="2">
        <v>169.50500000000002</v>
      </c>
      <c r="D85" s="2">
        <v>159.41590000000002</v>
      </c>
      <c r="E85" s="2">
        <v>28.207433333333338</v>
      </c>
    </row>
    <row r="86" spans="1:14" ht="15.6" x14ac:dyDescent="0.3">
      <c r="A86" s="4" t="s">
        <v>13</v>
      </c>
      <c r="B86" s="2">
        <v>9.3633333333333333</v>
      </c>
      <c r="C86" s="2">
        <v>14.2425</v>
      </c>
      <c r="D86" s="2">
        <v>15.219833333333334</v>
      </c>
      <c r="E86" s="2">
        <v>12.148266666666666</v>
      </c>
    </row>
    <row r="87" spans="1:14" ht="15.6" x14ac:dyDescent="0.3">
      <c r="A87" s="4" t="s">
        <v>14</v>
      </c>
      <c r="B87" s="2">
        <v>8.0399999999999974</v>
      </c>
      <c r="C87" s="2">
        <v>27.601833333333332</v>
      </c>
      <c r="D87" s="2">
        <v>32.469666666666654</v>
      </c>
      <c r="E87" s="2">
        <v>15.506033333333329</v>
      </c>
    </row>
    <row r="88" spans="1:14" ht="15.6" x14ac:dyDescent="0.3">
      <c r="A88" s="4" t="s">
        <v>15</v>
      </c>
      <c r="B88" s="2">
        <v>14.246666666666666</v>
      </c>
      <c r="C88" s="2">
        <v>27.724666666666664</v>
      </c>
      <c r="D88" s="2">
        <v>24.246300000000002</v>
      </c>
      <c r="E88" s="2">
        <v>14.096466666666659</v>
      </c>
    </row>
    <row r="89" spans="1:14" ht="15.6" x14ac:dyDescent="0.3">
      <c r="A89" s="4"/>
      <c r="B89" s="2">
        <f>SUM(B77:B88)</f>
        <v>464.95666666666676</v>
      </c>
      <c r="C89" s="2">
        <f t="shared" ref="C89:E89" si="12">SUM(C77:C88)</f>
        <v>880.68946666666659</v>
      </c>
      <c r="D89" s="2">
        <f t="shared" si="12"/>
        <v>922.38056666666671</v>
      </c>
      <c r="E89" s="2">
        <f t="shared" si="12"/>
        <v>782.67830000000004</v>
      </c>
    </row>
    <row r="90" spans="1:14" x14ac:dyDescent="0.3">
      <c r="G90" s="9" t="s">
        <v>27</v>
      </c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40</v>
      </c>
      <c r="B91" s="14"/>
      <c r="C91" s="14"/>
      <c r="D91" s="14"/>
      <c r="E91" s="14"/>
      <c r="H91" s="1" t="s">
        <v>0</v>
      </c>
      <c r="I91" s="1" t="s">
        <v>1</v>
      </c>
      <c r="J91" s="1" t="s">
        <v>2</v>
      </c>
      <c r="K91" s="1" t="s">
        <v>3</v>
      </c>
      <c r="L91" s="1" t="s">
        <v>20</v>
      </c>
      <c r="M91" s="1" t="s">
        <v>21</v>
      </c>
      <c r="N91" s="1" t="s">
        <v>22</v>
      </c>
    </row>
    <row r="92" spans="1:14" x14ac:dyDescent="0.3">
      <c r="B92" t="s">
        <v>0</v>
      </c>
      <c r="C92" t="s">
        <v>1</v>
      </c>
      <c r="D92" t="s">
        <v>2</v>
      </c>
      <c r="E92" t="s">
        <v>3</v>
      </c>
      <c r="G92" t="s">
        <v>16</v>
      </c>
      <c r="H92" s="8">
        <f>(B104+B93+B94)</f>
        <v>61.511640404040413</v>
      </c>
      <c r="I92" s="8">
        <f>(C104+C93+C94)</f>
        <v>127.84647777777778</v>
      </c>
      <c r="J92" s="8">
        <f>(D104+D93+D94)</f>
        <v>119.20224444444443</v>
      </c>
      <c r="K92" s="8">
        <f>(E104+E93+E94)</f>
        <v>111.72977777777777</v>
      </c>
      <c r="L92" s="8">
        <f>(C118+C107+C108)</f>
        <v>126.75185555555557</v>
      </c>
      <c r="M92" s="8">
        <f>(D118+D107+D108)</f>
        <v>115.84533333333334</v>
      </c>
      <c r="N92" s="8">
        <f>(E118+E107+E108)</f>
        <v>116.76027777777776</v>
      </c>
    </row>
    <row r="93" spans="1:14" ht="15.6" x14ac:dyDescent="0.3">
      <c r="A93" s="4" t="s">
        <v>4</v>
      </c>
      <c r="B93" s="2">
        <v>17.49777171717172</v>
      </c>
      <c r="C93" s="2">
        <v>39.463144444444438</v>
      </c>
      <c r="D93" s="2">
        <v>47.237555555555559</v>
      </c>
      <c r="E93" s="2">
        <v>45.889622222222222</v>
      </c>
      <c r="G93" t="s">
        <v>17</v>
      </c>
      <c r="H93" s="8">
        <f>(B95+B96+B97)</f>
        <v>79.991114141414158</v>
      </c>
      <c r="I93" s="8">
        <f>(C95+C96+C97)</f>
        <v>79.141544444444449</v>
      </c>
      <c r="J93" s="8">
        <f>(D95+D96+D97)</f>
        <v>64.11836666666666</v>
      </c>
      <c r="K93" s="8">
        <f>(E95+E96+E97)</f>
        <v>68.880833333333328</v>
      </c>
      <c r="L93" s="8">
        <f>(C109+C110+C111)</f>
        <v>53.694244444444443</v>
      </c>
      <c r="M93" s="8">
        <f>(D109+D110+D111)</f>
        <v>80.208155555555564</v>
      </c>
      <c r="N93" s="8">
        <f>(E109+E110+E111)</f>
        <v>80.912366666666671</v>
      </c>
    </row>
    <row r="94" spans="1:14" ht="15.6" x14ac:dyDescent="0.3">
      <c r="A94" s="4" t="s">
        <v>5</v>
      </c>
      <c r="B94" s="2">
        <v>32.264964646464655</v>
      </c>
      <c r="C94" s="2">
        <v>59.376566666666669</v>
      </c>
      <c r="D94" s="2">
        <v>48.433299999999996</v>
      </c>
      <c r="E94" s="2">
        <v>46.645633333333315</v>
      </c>
      <c r="G94" t="s">
        <v>18</v>
      </c>
      <c r="H94" s="8">
        <f>(B98+B99+B100)</f>
        <v>265.95758080808076</v>
      </c>
      <c r="I94" s="8">
        <f>(C98+C99+C100)</f>
        <v>341.79376666666678</v>
      </c>
      <c r="J94" s="8">
        <f>(D98+D99+D100)</f>
        <v>377.27198888888893</v>
      </c>
      <c r="K94" s="8">
        <f>(E98+E99+E100)</f>
        <v>397.48954444444445</v>
      </c>
      <c r="L94" s="8">
        <f>(C112+C113+C114)</f>
        <v>380.32381111111113</v>
      </c>
      <c r="M94" s="8">
        <f>(D112+D113+D114)</f>
        <v>381.93334444444451</v>
      </c>
      <c r="N94" s="8">
        <f>(E112+E113+E114)</f>
        <v>476.1671</v>
      </c>
    </row>
    <row r="95" spans="1:14" ht="15.6" x14ac:dyDescent="0.3">
      <c r="A95" s="4" t="s">
        <v>6</v>
      </c>
      <c r="B95" s="2">
        <v>30.339197979797991</v>
      </c>
      <c r="C95" s="2">
        <v>46.938211111111116</v>
      </c>
      <c r="D95" s="2">
        <v>36.978066666666663</v>
      </c>
      <c r="E95" s="2">
        <v>27.708944444444445</v>
      </c>
      <c r="G95" t="s">
        <v>19</v>
      </c>
      <c r="H95" s="8">
        <f>(B101+B102+B103)</f>
        <v>65.598081414141419</v>
      </c>
      <c r="I95" s="8">
        <f>(C101+C102+C103)</f>
        <v>109.37134444444443</v>
      </c>
      <c r="J95" s="8">
        <f>(D101+D102+D103)</f>
        <v>118.58773333333335</v>
      </c>
      <c r="K95" s="8">
        <f>(E101+E102+E103)</f>
        <v>87.534422222222233</v>
      </c>
      <c r="L95" s="8">
        <f>(C115+C116+C117)</f>
        <v>161.25414444444445</v>
      </c>
      <c r="M95" s="8">
        <f>(D115+D116+D117)</f>
        <v>168.53511111111112</v>
      </c>
      <c r="N95" s="8">
        <f>(E115+E116+E117)</f>
        <v>107.35526666666668</v>
      </c>
    </row>
    <row r="96" spans="1:14" ht="15.6" x14ac:dyDescent="0.3">
      <c r="A96" s="4" t="s">
        <v>7</v>
      </c>
      <c r="B96" s="2">
        <v>28.913823232323239</v>
      </c>
      <c r="C96" s="2">
        <v>18.511266666666668</v>
      </c>
      <c r="D96" s="2">
        <v>10.478711111111114</v>
      </c>
      <c r="E96" s="2">
        <v>13.998455555555557</v>
      </c>
      <c r="G96" s="9" t="s">
        <v>26</v>
      </c>
      <c r="H96" s="13">
        <f>SUM(H92:H95)</f>
        <v>473.05841676767676</v>
      </c>
      <c r="I96" s="13">
        <f t="shared" ref="I96:N96" si="13">SUM(I92:I95)</f>
        <v>658.15313333333336</v>
      </c>
      <c r="J96" s="13">
        <f t="shared" si="13"/>
        <v>679.18033333333324</v>
      </c>
      <c r="K96" s="13">
        <f t="shared" si="13"/>
        <v>665.63457777777785</v>
      </c>
      <c r="L96" s="13">
        <f t="shared" si="13"/>
        <v>722.02405555555561</v>
      </c>
      <c r="M96" s="13">
        <f t="shared" si="13"/>
        <v>746.52194444444444</v>
      </c>
      <c r="N96" s="13">
        <f t="shared" si="13"/>
        <v>781.19501111111117</v>
      </c>
    </row>
    <row r="97" spans="1:14" ht="15.6" x14ac:dyDescent="0.3">
      <c r="A97" s="4" t="s">
        <v>8</v>
      </c>
      <c r="B97" s="2">
        <v>20.738092929292932</v>
      </c>
      <c r="C97" s="2">
        <v>13.692066666666667</v>
      </c>
      <c r="D97" s="2">
        <v>16.661588888888886</v>
      </c>
      <c r="E97" s="2">
        <v>27.173433333333332</v>
      </c>
      <c r="H97" s="1" t="s">
        <v>0</v>
      </c>
      <c r="I97" s="1" t="s">
        <v>1</v>
      </c>
      <c r="J97" s="1" t="s">
        <v>2</v>
      </c>
      <c r="K97" s="1" t="s">
        <v>3</v>
      </c>
      <c r="L97" s="1" t="s">
        <v>20</v>
      </c>
      <c r="M97" s="1" t="s">
        <v>21</v>
      </c>
      <c r="N97" s="1" t="s">
        <v>22</v>
      </c>
    </row>
    <row r="98" spans="1:14" ht="15.6" x14ac:dyDescent="0.3">
      <c r="A98" s="4" t="s">
        <v>9</v>
      </c>
      <c r="B98" s="2">
        <v>37.646853535353536</v>
      </c>
      <c r="C98" s="2">
        <v>47.209933333333332</v>
      </c>
      <c r="D98" s="2">
        <v>75.831444444444443</v>
      </c>
      <c r="E98" s="2">
        <v>95.73647777777785</v>
      </c>
      <c r="G98" t="s">
        <v>16</v>
      </c>
      <c r="H98" s="1"/>
      <c r="I98" s="2">
        <f>I92-H92</f>
        <v>66.334837373737372</v>
      </c>
      <c r="J98" s="2">
        <f>J92-H92</f>
        <v>57.690604040404018</v>
      </c>
      <c r="K98" s="2">
        <f>K92-H92</f>
        <v>50.218137373737356</v>
      </c>
      <c r="L98" s="2">
        <f>L92-H92</f>
        <v>65.240215151515144</v>
      </c>
      <c r="M98" s="2">
        <f>M92-H92</f>
        <v>54.33369292929293</v>
      </c>
      <c r="N98" s="2">
        <f>N92-H92</f>
        <v>55.248637373737346</v>
      </c>
    </row>
    <row r="99" spans="1:14" ht="15.6" x14ac:dyDescent="0.3">
      <c r="A99" s="4" t="s">
        <v>10</v>
      </c>
      <c r="B99" s="2">
        <v>122.9172929292929</v>
      </c>
      <c r="C99" s="2">
        <v>127.15694444444451</v>
      </c>
      <c r="D99" s="2">
        <v>155.94771111111109</v>
      </c>
      <c r="E99" s="2">
        <v>194.44508888888882</v>
      </c>
      <c r="G99" t="s">
        <v>17</v>
      </c>
      <c r="H99" s="1"/>
      <c r="I99" s="2">
        <f t="shared" ref="I99:I101" si="14">I93-H93</f>
        <v>-0.8495696969697093</v>
      </c>
      <c r="J99" s="2">
        <f t="shared" ref="J99:J101" si="15">J93-H93</f>
        <v>-15.872747474747499</v>
      </c>
      <c r="K99" s="2">
        <f t="shared" ref="K99:K101" si="16">K93-H93</f>
        <v>-11.11028080808083</v>
      </c>
      <c r="L99" s="2">
        <f>L93-H93</f>
        <v>-26.296869696969715</v>
      </c>
      <c r="M99" s="2">
        <f>M93-H93</f>
        <v>0.21704141414140565</v>
      </c>
      <c r="N99" s="2">
        <f>N93-H93</f>
        <v>0.92125252525251256</v>
      </c>
    </row>
    <row r="100" spans="1:14" ht="15.6" x14ac:dyDescent="0.3">
      <c r="A100" s="4" t="s">
        <v>11</v>
      </c>
      <c r="B100" s="2">
        <v>105.39343434343435</v>
      </c>
      <c r="C100" s="2">
        <v>167.42688888888893</v>
      </c>
      <c r="D100" s="2">
        <v>145.49283333333338</v>
      </c>
      <c r="E100" s="2">
        <v>107.30797777777782</v>
      </c>
      <c r="G100" t="s">
        <v>18</v>
      </c>
      <c r="H100" s="1"/>
      <c r="I100" s="2">
        <f t="shared" si="14"/>
        <v>75.83618585858602</v>
      </c>
      <c r="J100" s="2">
        <f t="shared" si="15"/>
        <v>111.31440808080816</v>
      </c>
      <c r="K100" s="2">
        <f t="shared" si="16"/>
        <v>131.53196363636368</v>
      </c>
      <c r="L100" s="2">
        <f>L94-H94</f>
        <v>114.36623030303036</v>
      </c>
      <c r="M100" s="2">
        <f>M94-H94</f>
        <v>115.97576363636375</v>
      </c>
      <c r="N100" s="2">
        <f>N94-H94</f>
        <v>210.20951919191924</v>
      </c>
    </row>
    <row r="101" spans="1:14" ht="15.6" x14ac:dyDescent="0.3">
      <c r="A101" s="4" t="s">
        <v>12</v>
      </c>
      <c r="B101" s="2">
        <v>51.172736363636368</v>
      </c>
      <c r="C101" s="2">
        <v>76.794055555555545</v>
      </c>
      <c r="D101" s="2">
        <v>78.210733333333337</v>
      </c>
      <c r="E101" s="2">
        <v>55.065844444444444</v>
      </c>
      <c r="G101" t="s">
        <v>19</v>
      </c>
      <c r="H101" s="1"/>
      <c r="I101" s="2">
        <f t="shared" si="14"/>
        <v>43.773263030303013</v>
      </c>
      <c r="J101" s="2">
        <f t="shared" si="15"/>
        <v>52.989651919191928</v>
      </c>
      <c r="K101" s="2">
        <f t="shared" si="16"/>
        <v>21.936340808080814</v>
      </c>
      <c r="L101" s="2">
        <f>L95-H95</f>
        <v>95.656063030303031</v>
      </c>
      <c r="M101" s="2">
        <f>M95-H95</f>
        <v>102.9370296969697</v>
      </c>
      <c r="N101" s="2">
        <f>N95-H95</f>
        <v>41.757185252525261</v>
      </c>
    </row>
    <row r="102" spans="1:14" ht="15.6" x14ac:dyDescent="0.3">
      <c r="A102" s="4" t="s">
        <v>13</v>
      </c>
      <c r="B102" s="2">
        <v>10.215041414141414</v>
      </c>
      <c r="C102" s="2">
        <v>15.057866666666664</v>
      </c>
      <c r="D102" s="2">
        <v>15.447022222222225</v>
      </c>
      <c r="E102" s="2">
        <v>15.942855555555559</v>
      </c>
      <c r="G102" t="s">
        <v>44</v>
      </c>
      <c r="I102" s="8">
        <f>I96-H96</f>
        <v>185.0947165656566</v>
      </c>
      <c r="J102" s="8">
        <f>J96-H96</f>
        <v>206.12191656565648</v>
      </c>
      <c r="K102" s="2">
        <f>K96-H96</f>
        <v>192.57616101010109</v>
      </c>
      <c r="L102" s="8">
        <f>L96-H96</f>
        <v>248.96563878787885</v>
      </c>
      <c r="M102" s="8">
        <f>M96-H96</f>
        <v>273.46352767676768</v>
      </c>
      <c r="N102" s="8">
        <f>N96-H96</f>
        <v>308.13659434343441</v>
      </c>
    </row>
    <row r="103" spans="1:14" ht="15.6" x14ac:dyDescent="0.3">
      <c r="A103" s="4" t="s">
        <v>14</v>
      </c>
      <c r="B103" s="2">
        <v>4.2103036363636361</v>
      </c>
      <c r="C103" s="2">
        <v>17.519422222222222</v>
      </c>
      <c r="D103" s="2">
        <v>24.929977777777779</v>
      </c>
      <c r="E103" s="2">
        <v>16.525722222222225</v>
      </c>
    </row>
    <row r="104" spans="1:14" ht="15.6" x14ac:dyDescent="0.3">
      <c r="A104" s="4" t="s">
        <v>15</v>
      </c>
      <c r="B104" s="2">
        <v>11.748904040404041</v>
      </c>
      <c r="C104" s="2">
        <v>29.006766666666675</v>
      </c>
      <c r="D104" s="2">
        <v>23.531388888888888</v>
      </c>
      <c r="E104" s="2">
        <v>19.194522222222226</v>
      </c>
    </row>
    <row r="105" spans="1:14" x14ac:dyDescent="0.3">
      <c r="A105" s="14" t="s">
        <v>41</v>
      </c>
      <c r="B105" s="14"/>
      <c r="C105" s="14"/>
      <c r="D105" s="14"/>
      <c r="E105" s="14"/>
    </row>
    <row r="106" spans="1:14" x14ac:dyDescent="0.3">
      <c r="B106" s="2" t="s">
        <v>0</v>
      </c>
      <c r="C106" s="2" t="s">
        <v>20</v>
      </c>
      <c r="D106" s="2" t="s">
        <v>21</v>
      </c>
      <c r="E106" s="2" t="s">
        <v>22</v>
      </c>
    </row>
    <row r="107" spans="1:14" ht="15.6" x14ac:dyDescent="0.3">
      <c r="A107" s="4" t="s">
        <v>4</v>
      </c>
      <c r="B107" s="2">
        <v>17.49777171717172</v>
      </c>
      <c r="C107" s="2">
        <v>30.900933333333331</v>
      </c>
      <c r="D107" s="2">
        <v>42.023522222222226</v>
      </c>
      <c r="E107" s="2">
        <v>59.18174444444444</v>
      </c>
    </row>
    <row r="108" spans="1:14" ht="15.6" x14ac:dyDescent="0.3">
      <c r="A108" s="4" t="s">
        <v>5</v>
      </c>
      <c r="B108" s="2">
        <v>32.264964646464655</v>
      </c>
      <c r="C108" s="2">
        <v>68.818288888888901</v>
      </c>
      <c r="D108" s="2">
        <v>47.2746</v>
      </c>
      <c r="E108" s="2">
        <v>39.137355555555544</v>
      </c>
    </row>
    <row r="109" spans="1:14" ht="15.6" x14ac:dyDescent="0.3">
      <c r="A109" s="4" t="s">
        <v>6</v>
      </c>
      <c r="B109" s="2">
        <v>30.339197979797991</v>
      </c>
      <c r="C109" s="2">
        <v>16.204744444444451</v>
      </c>
      <c r="D109" s="2">
        <v>25.692655555555557</v>
      </c>
      <c r="E109" s="2">
        <v>27.972188888888883</v>
      </c>
    </row>
    <row r="110" spans="1:14" ht="15.6" x14ac:dyDescent="0.3">
      <c r="A110" s="4" t="s">
        <v>7</v>
      </c>
      <c r="B110" s="2">
        <v>28.913823232323239</v>
      </c>
      <c r="C110" s="2">
        <v>18.451033333333328</v>
      </c>
      <c r="D110" s="2">
        <v>19.921866666666656</v>
      </c>
      <c r="E110" s="2">
        <v>21.705211111111108</v>
      </c>
    </row>
    <row r="111" spans="1:14" ht="15.6" x14ac:dyDescent="0.3">
      <c r="A111" s="4" t="s">
        <v>8</v>
      </c>
      <c r="B111" s="2">
        <v>20.738092929292932</v>
      </c>
      <c r="C111" s="2">
        <v>19.038466666666665</v>
      </c>
      <c r="D111" s="2">
        <v>34.593633333333351</v>
      </c>
      <c r="E111" s="2">
        <v>31.234966666666676</v>
      </c>
    </row>
    <row r="112" spans="1:14" ht="15.6" x14ac:dyDescent="0.3">
      <c r="A112" s="4" t="s">
        <v>9</v>
      </c>
      <c r="B112" s="2">
        <v>37.646853535353536</v>
      </c>
      <c r="C112" s="2">
        <v>68.981666666666641</v>
      </c>
      <c r="D112" s="2">
        <v>95.504477777777808</v>
      </c>
      <c r="E112" s="2">
        <v>94.809811111111131</v>
      </c>
    </row>
    <row r="113" spans="1:5" ht="15.6" x14ac:dyDescent="0.3">
      <c r="A113" s="4" t="s">
        <v>10</v>
      </c>
      <c r="B113" s="2">
        <v>122.9172929292929</v>
      </c>
      <c r="C113" s="2">
        <v>142.97701111111107</v>
      </c>
      <c r="D113" s="2">
        <v>153.20442222222229</v>
      </c>
      <c r="E113" s="2">
        <v>185.36212222222215</v>
      </c>
    </row>
    <row r="114" spans="1:5" ht="15.6" x14ac:dyDescent="0.3">
      <c r="A114" s="4" t="s">
        <v>11</v>
      </c>
      <c r="B114" s="2">
        <v>105.39343434343435</v>
      </c>
      <c r="C114" s="2">
        <v>168.36513333333343</v>
      </c>
      <c r="D114" s="2">
        <v>133.2244444444444</v>
      </c>
      <c r="E114" s="2">
        <v>195.99516666666668</v>
      </c>
    </row>
    <row r="115" spans="1:5" ht="15.6" x14ac:dyDescent="0.3">
      <c r="A115" s="4" t="s">
        <v>12</v>
      </c>
      <c r="B115" s="2">
        <v>51.172736363636368</v>
      </c>
      <c r="C115" s="2">
        <v>128.12554444444447</v>
      </c>
      <c r="D115" s="2">
        <v>131.81494444444448</v>
      </c>
      <c r="E115" s="2">
        <v>64.965155555555569</v>
      </c>
    </row>
    <row r="116" spans="1:5" ht="15.6" x14ac:dyDescent="0.3">
      <c r="A116" s="4" t="s">
        <v>13</v>
      </c>
      <c r="B116" s="2">
        <v>10.215041414141414</v>
      </c>
      <c r="C116" s="2">
        <v>13.700255555555556</v>
      </c>
      <c r="D116" s="2">
        <v>11.336844444444445</v>
      </c>
      <c r="E116" s="2">
        <v>10.990666666666668</v>
      </c>
    </row>
    <row r="117" spans="1:5" ht="15.6" x14ac:dyDescent="0.3">
      <c r="A117" s="4" t="s">
        <v>14</v>
      </c>
      <c r="B117" s="2">
        <v>4.2103036363636361</v>
      </c>
      <c r="C117" s="2">
        <v>19.428344444444445</v>
      </c>
      <c r="D117" s="2">
        <v>25.383322222222215</v>
      </c>
      <c r="E117" s="2">
        <v>31.399444444444445</v>
      </c>
    </row>
    <row r="118" spans="1:5" ht="15.6" x14ac:dyDescent="0.3">
      <c r="A118" s="4" t="s">
        <v>15</v>
      </c>
      <c r="B118" s="2">
        <v>11.748904040404041</v>
      </c>
      <c r="C118" s="2">
        <v>27.032633333333333</v>
      </c>
      <c r="D118" s="2">
        <v>26.54721111111111</v>
      </c>
      <c r="E118" s="2">
        <v>18.441177777777778</v>
      </c>
    </row>
  </sheetData>
  <mergeCells count="9">
    <mergeCell ref="A1:E1"/>
    <mergeCell ref="G1:N1"/>
    <mergeCell ref="A16:E16"/>
    <mergeCell ref="A31:E31"/>
    <mergeCell ref="A105:E105"/>
    <mergeCell ref="A45:E45"/>
    <mergeCell ref="A91:E91"/>
    <mergeCell ref="A60:E60"/>
    <mergeCell ref="A75:E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Tmax</vt:lpstr>
      <vt:lpstr>Tmin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2026-07-27T07:51:18Z</dcterms:modified>
</cp:coreProperties>
</file>