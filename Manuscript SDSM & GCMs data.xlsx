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ml.chartshapes+xml"/>
  <Override PartName="/xl/charts/chart11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theme/themeOverride1.xml" ContentType="application/vnd.openxmlformats-officedocument.themeOverrid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24226"/>
  <xr:revisionPtr revIDLastSave="0" documentId="13_ncr:1_{9BCD6DB5-BE61-4919-9868-60383D9319A5}" xr6:coauthVersionLast="47" xr6:coauthVersionMax="47" xr10:uidLastSave="{00000000-0000-0000-0000-000000000000}"/>
  <bookViews>
    <workbookView xWindow="132" yWindow="0" windowWidth="22908" windowHeight="12360" activeTab="4" xr2:uid="{00000000-000D-0000-FFFF-FFFF00000000}"/>
  </bookViews>
  <sheets>
    <sheet name="GCM Selection" sheetId="1" r:id="rId1"/>
    <sheet name="GCM Cal." sheetId="2" r:id="rId2"/>
    <sheet name="Graph Cal" sheetId="3" r:id="rId3"/>
    <sheet name="GCM Val." sheetId="4" r:id="rId4"/>
    <sheet name="Graph Val.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0" i="4" l="1"/>
  <c r="N91" i="4"/>
  <c r="N92" i="4"/>
  <c r="N93" i="4"/>
  <c r="N94" i="4"/>
  <c r="N95" i="4"/>
  <c r="N96" i="4"/>
  <c r="N97" i="4"/>
  <c r="N98" i="4"/>
  <c r="N99" i="4"/>
  <c r="N100" i="4"/>
  <c r="N89" i="4"/>
  <c r="M90" i="4"/>
  <c r="M91" i="4"/>
  <c r="M92" i="4"/>
  <c r="M93" i="4"/>
  <c r="M94" i="4"/>
  <c r="M95" i="4"/>
  <c r="M96" i="4"/>
  <c r="M97" i="4"/>
  <c r="M98" i="4"/>
  <c r="M99" i="4"/>
  <c r="M100" i="4"/>
  <c r="M89" i="4"/>
  <c r="L90" i="4"/>
  <c r="L91" i="4"/>
  <c r="L92" i="4"/>
  <c r="L93" i="4"/>
  <c r="L94" i="4"/>
  <c r="L95" i="4"/>
  <c r="L96" i="4"/>
  <c r="L97" i="4"/>
  <c r="L98" i="4"/>
  <c r="L99" i="4"/>
  <c r="L100" i="4"/>
  <c r="L89" i="4"/>
  <c r="N50" i="4"/>
  <c r="N51" i="4"/>
  <c r="N52" i="4"/>
  <c r="N53" i="4"/>
  <c r="N54" i="4"/>
  <c r="N55" i="4"/>
  <c r="N56" i="4"/>
  <c r="N57" i="4"/>
  <c r="N58" i="4"/>
  <c r="N59" i="4"/>
  <c r="N60" i="4"/>
  <c r="N49" i="4"/>
  <c r="M50" i="4"/>
  <c r="M51" i="4"/>
  <c r="M52" i="4"/>
  <c r="M53" i="4"/>
  <c r="M54" i="4"/>
  <c r="M55" i="4"/>
  <c r="M56" i="4"/>
  <c r="M57" i="4"/>
  <c r="M58" i="4"/>
  <c r="M59" i="4"/>
  <c r="M60" i="4"/>
  <c r="M49" i="4"/>
  <c r="L50" i="4"/>
  <c r="L51" i="4"/>
  <c r="L52" i="4"/>
  <c r="L53" i="4"/>
  <c r="L54" i="4"/>
  <c r="L55" i="4"/>
  <c r="L56" i="4"/>
  <c r="L57" i="4"/>
  <c r="L58" i="4"/>
  <c r="L59" i="4"/>
  <c r="L60" i="4"/>
  <c r="L49" i="4"/>
  <c r="N8" i="4"/>
  <c r="N9" i="4"/>
  <c r="N10" i="4"/>
  <c r="N11" i="4"/>
  <c r="N12" i="4"/>
  <c r="N13" i="4"/>
  <c r="N14" i="4"/>
  <c r="N15" i="4"/>
  <c r="N16" i="4"/>
  <c r="N17" i="4"/>
  <c r="N18" i="4"/>
  <c r="N7" i="4"/>
  <c r="M8" i="4"/>
  <c r="M9" i="4"/>
  <c r="M10" i="4"/>
  <c r="M11" i="4"/>
  <c r="M12" i="4"/>
  <c r="M13" i="4"/>
  <c r="M14" i="4"/>
  <c r="M15" i="4"/>
  <c r="M16" i="4"/>
  <c r="M17" i="4"/>
  <c r="M18" i="4"/>
  <c r="M7" i="4"/>
  <c r="L8" i="4"/>
  <c r="L9" i="4"/>
  <c r="L10" i="4"/>
  <c r="L11" i="4"/>
  <c r="L12" i="4"/>
  <c r="L13" i="4"/>
  <c r="L14" i="4"/>
  <c r="L15" i="4"/>
  <c r="L16" i="4"/>
  <c r="L17" i="4"/>
  <c r="L18" i="4"/>
  <c r="L7" i="4"/>
  <c r="AB9" i="2" l="1"/>
  <c r="AB10" i="2"/>
  <c r="AB11" i="2"/>
  <c r="AB12" i="2"/>
  <c r="AB13" i="2"/>
  <c r="AB14" i="2"/>
  <c r="AB15" i="2"/>
  <c r="AB16" i="2"/>
  <c r="AB17" i="2"/>
  <c r="AB18" i="2"/>
  <c r="AB19" i="2"/>
  <c r="AB8" i="2"/>
  <c r="AA9" i="2"/>
  <c r="AA10" i="2"/>
  <c r="AA11" i="2"/>
  <c r="AA12" i="2"/>
  <c r="AA13" i="2"/>
  <c r="AA14" i="2"/>
  <c r="AA15" i="2"/>
  <c r="AA16" i="2"/>
  <c r="AA17" i="2"/>
  <c r="AA18" i="2"/>
  <c r="AA19" i="2"/>
  <c r="AA8" i="2"/>
  <c r="S9" i="2"/>
  <c r="S10" i="2"/>
  <c r="S11" i="2"/>
  <c r="S12" i="2"/>
  <c r="S13" i="2"/>
  <c r="S14" i="2"/>
  <c r="S15" i="2"/>
  <c r="S16" i="2"/>
  <c r="S17" i="2"/>
  <c r="S18" i="2"/>
  <c r="S19" i="2"/>
  <c r="S8" i="2"/>
  <c r="R9" i="2"/>
  <c r="R10" i="2"/>
  <c r="R11" i="2"/>
  <c r="R12" i="2"/>
  <c r="R13" i="2"/>
  <c r="R14" i="2"/>
  <c r="R15" i="2"/>
  <c r="R16" i="2"/>
  <c r="R17" i="2"/>
  <c r="R18" i="2"/>
  <c r="R19" i="2"/>
  <c r="R8" i="2"/>
  <c r="J9" i="2"/>
  <c r="J10" i="2"/>
  <c r="J11" i="2"/>
  <c r="J12" i="2"/>
  <c r="J13" i="2"/>
  <c r="J14" i="2"/>
  <c r="J15" i="2"/>
  <c r="J16" i="2"/>
  <c r="J17" i="2"/>
  <c r="J18" i="2"/>
  <c r="J19" i="2"/>
  <c r="I9" i="2"/>
  <c r="I10" i="2"/>
  <c r="I11" i="2"/>
  <c r="I12" i="2"/>
  <c r="I13" i="2"/>
  <c r="I14" i="2"/>
  <c r="I15" i="2"/>
  <c r="I16" i="2"/>
  <c r="I17" i="2"/>
  <c r="I18" i="2"/>
  <c r="I19" i="2"/>
  <c r="J8" i="2"/>
  <c r="I8" i="2"/>
</calcChain>
</file>

<file path=xl/sharedStrings.xml><?xml version="1.0" encoding="utf-8"?>
<sst xmlns="http://schemas.openxmlformats.org/spreadsheetml/2006/main" count="354" uniqueCount="142">
  <si>
    <t>Observed</t>
  </si>
  <si>
    <t>Nor-ESM1-M</t>
  </si>
  <si>
    <t>CanESM2</t>
  </si>
  <si>
    <t>BCC-CSM1.1</t>
  </si>
  <si>
    <t>CCSM4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</si>
  <si>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</si>
  <si>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</si>
  <si>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</si>
  <si>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</si>
  <si>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</si>
  <si>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</si>
  <si>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</si>
  <si>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</si>
  <si>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</si>
  <si>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</si>
  <si>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</si>
  <si>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</si>
  <si>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BCC-CSM1</t>
  </si>
  <si>
    <t>Aug.</t>
  </si>
  <si>
    <t>Sep.</t>
  </si>
  <si>
    <t>Oct.</t>
  </si>
  <si>
    <t>Nov.</t>
  </si>
  <si>
    <t>Dec.</t>
  </si>
  <si>
    <t>Rainfall-Lahore</t>
  </si>
  <si>
    <t>Tmax-Lahore</t>
  </si>
  <si>
    <t>Tmin-Lahore</t>
  </si>
  <si>
    <t>Lahore
GCMs Data</t>
  </si>
  <si>
    <t>Faisalabad
GCMs Data</t>
  </si>
  <si>
    <t>Rainfall-Faisalabad</t>
  </si>
  <si>
    <t>Tmax-Faisalabad</t>
  </si>
  <si>
    <t>Tmin-Faisalabad</t>
  </si>
  <si>
    <t>Rainfall- Overall</t>
  </si>
  <si>
    <t>Overall
GCMs Data</t>
  </si>
  <si>
    <t>Tamx- Overall</t>
  </si>
  <si>
    <t>Tmin- Overall</t>
  </si>
  <si>
    <t>Obs. Rain</t>
  </si>
  <si>
    <t>Obs. Tmax</t>
  </si>
  <si>
    <t>Obs. Tmin</t>
  </si>
  <si>
    <t>Rain Nor-ESM1-M</t>
  </si>
  <si>
    <t>Rain CanESM2</t>
  </si>
  <si>
    <t>Rain BCC-CSM1.1</t>
  </si>
  <si>
    <t>Rain CCSM4</t>
  </si>
  <si>
    <t>Tmax Nor-ESM1-M</t>
  </si>
  <si>
    <t>Tmax CanESM2</t>
  </si>
  <si>
    <t>Tmax BCC-CSM1.1</t>
  </si>
  <si>
    <t>Tmax CCSM4</t>
  </si>
  <si>
    <t>Tmin Nor-ESM1-M</t>
  </si>
  <si>
    <t>Tmin CanESM2</t>
  </si>
  <si>
    <t>Tmin BCC-CSM1.1</t>
  </si>
  <si>
    <t>Tmin CCSM4</t>
  </si>
  <si>
    <t>GCM Cal.</t>
  </si>
  <si>
    <t>Mar</t>
  </si>
  <si>
    <t>Apr</t>
  </si>
  <si>
    <t>Jun</t>
  </si>
  <si>
    <t>Jul</t>
  </si>
  <si>
    <t>Lahore</t>
  </si>
  <si>
    <t>Faisalabad</t>
  </si>
  <si>
    <t>Sargodha</t>
  </si>
  <si>
    <t>Overall LCC</t>
  </si>
  <si>
    <t>NCEP Rain FSD</t>
  </si>
  <si>
    <t>NCEP Rain SGD</t>
  </si>
  <si>
    <t>Obs. Tmax LHR</t>
  </si>
  <si>
    <t>NCEP Tmax LHR</t>
  </si>
  <si>
    <t>Obs. Tmax FSD</t>
  </si>
  <si>
    <t>NCEP Tmax FSD</t>
  </si>
  <si>
    <t>Obs. Tmax SGD</t>
  </si>
  <si>
    <t>NCEP Tmax SGD</t>
  </si>
  <si>
    <t>Overall Tmax LCC Obs.</t>
  </si>
  <si>
    <t>Overall Tmax LCC NCEP</t>
  </si>
  <si>
    <t>Obs. Tmin LHR</t>
  </si>
  <si>
    <t>NCEP Tmin LHR</t>
  </si>
  <si>
    <t>Obs. Tmin FSD</t>
  </si>
  <si>
    <t>NCEP Tmin FSD</t>
  </si>
  <si>
    <t>Obs. Tmin SGD</t>
  </si>
  <si>
    <t>NCEP Tmin SGD</t>
  </si>
  <si>
    <t>Overall  Tmin LCC Obs.</t>
  </si>
  <si>
    <t>Overall Tmin LCC NCEP</t>
  </si>
  <si>
    <t>LCC Overall</t>
  </si>
  <si>
    <t>LCC- Overall</t>
  </si>
  <si>
    <t xml:space="preserve">LCC- Overall Rain </t>
  </si>
  <si>
    <t xml:space="preserve">LCC- Overall Tmax </t>
  </si>
  <si>
    <t xml:space="preserve">LCC- Overall Tmin </t>
  </si>
  <si>
    <t>NCEP Tmax</t>
  </si>
  <si>
    <t>NCEP Tmin</t>
  </si>
  <si>
    <t>SDSM Validation</t>
  </si>
  <si>
    <t>SDSM Calibration</t>
  </si>
  <si>
    <t>SDSM Validation Rainfall</t>
  </si>
  <si>
    <t>SDSM Validation Tmax</t>
  </si>
  <si>
    <t>SDSM Validation Tmin</t>
  </si>
  <si>
    <t>LCC- Overall SDSM Validation</t>
  </si>
  <si>
    <t>LCC- Overall Tmin</t>
  </si>
  <si>
    <t>LCC- Overall Tmax</t>
  </si>
  <si>
    <t xml:space="preserve"> Rain Obs.  </t>
  </si>
  <si>
    <t xml:space="preserve"> Rain CanESM2 </t>
  </si>
  <si>
    <t xml:space="preserve">Rain NCEP </t>
  </si>
  <si>
    <t xml:space="preserve">Tmax Obs.  </t>
  </si>
  <si>
    <t xml:space="preserve">Tmax CanESM2 </t>
  </si>
  <si>
    <t xml:space="preserve">Tmax NCEP </t>
  </si>
  <si>
    <t xml:space="preserve">Tmin Obs.  </t>
  </si>
  <si>
    <t xml:space="preserve">Tmin CanESM2 </t>
  </si>
  <si>
    <t xml:space="preserve"> Tmin NCEP </t>
  </si>
  <si>
    <t>Obs.  Rainfall</t>
  </si>
  <si>
    <t>NCEP Rainfall</t>
  </si>
  <si>
    <t>Obs. Rainfall LHR</t>
  </si>
  <si>
    <t>NCEP Rainfall LHR</t>
  </si>
  <si>
    <t>Obs. Rainfall FSD</t>
  </si>
  <si>
    <t>NCEP Rainfall FSD</t>
  </si>
  <si>
    <t>Obs. Rainfall SGD</t>
  </si>
  <si>
    <t>NCEP Rainfall SGD</t>
  </si>
  <si>
    <t>Overall Rainfall LCC Obs.</t>
  </si>
  <si>
    <t>Overall Rainfall LCC NCEP</t>
  </si>
  <si>
    <t xml:space="preserve">LCC- Overall Rainfall </t>
  </si>
  <si>
    <t xml:space="preserve"> Obs. Rain  LHR</t>
  </si>
  <si>
    <t xml:space="preserve"> CanESM2 Rain LHR </t>
  </si>
  <si>
    <t xml:space="preserve">NCEP Rain LHR </t>
  </si>
  <si>
    <t xml:space="preserve"> Obs. Rain  FSD</t>
  </si>
  <si>
    <t xml:space="preserve"> CanESM2 Rain FSD</t>
  </si>
  <si>
    <t xml:space="preserve"> Obs. Rain  SGD</t>
  </si>
  <si>
    <t xml:space="preserve"> CanESM2 Rain SGD</t>
  </si>
  <si>
    <t xml:space="preserve"> Obs. Rain  </t>
  </si>
  <si>
    <t xml:space="preserve"> CanESM2 Rain</t>
  </si>
  <si>
    <t xml:space="preserve">NCEP Rain </t>
  </si>
  <si>
    <t xml:space="preserve"> Obs. Tmax  LHR</t>
  </si>
  <si>
    <t xml:space="preserve"> CanESM2 Tmax LHR </t>
  </si>
  <si>
    <t xml:space="preserve">NCEP Tmax LHR </t>
  </si>
  <si>
    <t xml:space="preserve"> Obs. Tmax  FSD</t>
  </si>
  <si>
    <t xml:space="preserve"> CanESM2 Tmax FSD</t>
  </si>
  <si>
    <t xml:space="preserve"> Obs. Tmax  SGD</t>
  </si>
  <si>
    <t xml:space="preserve"> CanESM2 Tmax SGD</t>
  </si>
  <si>
    <t xml:space="preserve"> Obs. Tmax  </t>
  </si>
  <si>
    <t xml:space="preserve"> CanESM2 Tmax</t>
  </si>
  <si>
    <t xml:space="preserve">NCEP Tmax </t>
  </si>
  <si>
    <t xml:space="preserve"> Obs. Tmin  LHR</t>
  </si>
  <si>
    <t xml:space="preserve"> CanESM2 Tmin LHR </t>
  </si>
  <si>
    <t xml:space="preserve">NCEP Tmin LHR </t>
  </si>
  <si>
    <t xml:space="preserve"> Obs. Tmin  FSD</t>
  </si>
  <si>
    <t xml:space="preserve"> CanESM2 Tmin FSD</t>
  </si>
  <si>
    <t xml:space="preserve"> Obs. Tmin  SGD</t>
  </si>
  <si>
    <t xml:space="preserve"> CanESM2 Tmin SGD</t>
  </si>
  <si>
    <t xml:space="preserve"> Obs. Tmin  </t>
  </si>
  <si>
    <t xml:space="preserve"> CanESM2 Tmin</t>
  </si>
  <si>
    <t xml:space="preserve">NCEP Tmin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</si>
</sst>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0099"/>
      <color rgb="FFFF0066"/>
      <color rgb="FF000099"/>
      <color rgb="FF663300"/>
      <color rgb="FFFFCC00"/>
      <color rgb="FF00FF00"/>
      <color rgb="FF00FFFF"/>
      <color rgb="FFFFFF00"/>
      <color rgb="FF3333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7.949584426946632E-2"/>
          <c:y val="4.9578958880139981E-2"/>
          <c:w val="0.83387011519393406"/>
          <c:h val="0.77804599113488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'GCM Selection'!$C$105</c:f>
              <c:strCache>
                <c:ptCount val="1"/>
                <c:pt idx="0">
                  <c:v>Obs. Rain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Selection'!$C$106:$C$117</c:f>
              <c:numCache>
                <c:formatCode>General</c:formatCode>
                <c:ptCount val="12"/>
                <c:pt idx="0">
                  <c:v>14.294999999999998</c:v>
                </c:pt>
                <c:pt idx="1">
                  <c:v>28.65</c:v>
                </c:pt>
                <c:pt idx="2">
                  <c:v>27.490000000000009</c:v>
                </c:pt>
                <c:pt idx="3">
                  <c:v>21.838000000000001</c:v>
                </c:pt>
                <c:pt idx="4">
                  <c:v>15.887499999999999</c:v>
                </c:pt>
                <c:pt idx="5">
                  <c:v>55.919999999999987</c:v>
                </c:pt>
                <c:pt idx="6">
                  <c:v>136.48249999999996</c:v>
                </c:pt>
                <c:pt idx="7">
                  <c:v>140.07999999999998</c:v>
                </c:pt>
                <c:pt idx="8">
                  <c:v>54.172500000000014</c:v>
                </c:pt>
                <c:pt idx="9">
                  <c:v>15.932500000000001</c:v>
                </c:pt>
                <c:pt idx="10">
                  <c:v>4.0974999999999993</c:v>
                </c:pt>
                <c:pt idx="11">
                  <c:v>7.4274999999999993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0-40F6-A7E4-7F8C08091ED4}"/>
            </c:ext>
          </c:extLst>
        </c:ser>
        <c:ser>
          <c:idx val="1"/>
          <c:order val="1"/>
          <c:tx>
            <c:strRef>
              <c:f>'GCM Selection'!$D$105</c:f>
              <c:strCache>
                <c:ptCount val="1"/>
                <c:pt idx="0">
                  <c:v>Rain Nor-ESM1-M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Selection'!$D$106:$D$117</c:f>
              <c:numCache>
                <c:formatCode>General</c:formatCode>
                <c:ptCount val="12"/>
                <c:pt idx="0">
                  <c:v>6.5650810209379813</c:v>
                </c:pt>
                <c:pt idx="1">
                  <c:v>7.7627132591005426</c:v>
                </c:pt>
                <c:pt idx="2">
                  <c:v>4.0310779017736245</c:v>
                </c:pt>
                <c:pt idx="3">
                  <c:v>6.3938323615044164</c:v>
                </c:pt>
                <c:pt idx="4">
                  <c:v>10.555176131072077</c:v>
                </c:pt>
                <c:pt idx="5">
                  <c:v>24.188159341165473</c:v>
                </c:pt>
                <c:pt idx="6">
                  <c:v>21.276956579577575</c:v>
                </c:pt>
                <c:pt idx="7">
                  <c:v>27.532159182481582</c:v>
                </c:pt>
                <c:pt idx="8">
                  <c:v>39.308356791841668</c:v>
                </c:pt>
                <c:pt idx="9">
                  <c:v>17.39053992577702</c:v>
                </c:pt>
                <c:pt idx="10">
                  <c:v>9.2232740538747411</c:v>
                </c:pt>
                <c:pt idx="11">
                  <c:v>7.2429100364236758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0-40F6-A7E4-7F8C08091ED4}"/>
            </c:ext>
          </c:extLst>
        </c:ser>
        <c:ser>
          <c:idx val="2"/>
          <c:order val="2"/>
          <c:tx>
            <c:strRef>
              <c:f>'GCM Selection'!$E$105</c:f>
              <c:strCache>
                <c:ptCount val="1"/>
                <c:pt idx="0">
                  <c:v>Rain CanESM2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Selection'!$E$106:$E$117</c:f>
              <c:numCache>
                <c:formatCode>General</c:formatCode>
                <c:ptCount val="12"/>
                <c:pt idx="0">
                  <c:v>27.64111076516452</c:v>
                </c:pt>
                <c:pt idx="1">
                  <c:v>20.519727390836241</c:v>
                </c:pt>
                <c:pt idx="2">
                  <c:v>34.492314415112588</c:v>
                </c:pt>
                <c:pt idx="3">
                  <c:v>20.388197957111018</c:v>
                </c:pt>
                <c:pt idx="4">
                  <c:v>44.19809117124484</c:v>
                </c:pt>
                <c:pt idx="5">
                  <c:v>65.320195291844115</c:v>
                </c:pt>
                <c:pt idx="6">
                  <c:v>104.20921385736568</c:v>
                </c:pt>
                <c:pt idx="7">
                  <c:v>86.453956397532664</c:v>
                </c:pt>
                <c:pt idx="8">
                  <c:v>113.45988282886479</c:v>
                </c:pt>
                <c:pt idx="9">
                  <c:v>26.567144191786543</c:v>
                </c:pt>
                <c:pt idx="10">
                  <c:v>24.893057034860636</c:v>
                </c:pt>
                <c:pt idx="11">
                  <c:v>29.984167051470138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0-40F6-A7E4-7F8C08091ED4}"/>
            </c:ext>
          </c:extLst>
        </c:ser>
        <c:ser>
          <c:idx val="3"/>
          <c:order val="3"/>
          <c:tx>
            <c:strRef>
              <c:f>'GCM Selection'!$F$105</c:f>
              <c:strCache>
                <c:ptCount val="1"/>
                <c:pt idx="0">
                  <c:v>Rain BCC-CSM1.1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Selection'!$F$106:$F$117</c:f>
              <c:numCache>
                <c:formatCode>General</c:formatCode>
                <c:ptCount val="12"/>
                <c:pt idx="0">
                  <c:v>29.485544493169431</c:v>
                </c:pt>
                <c:pt idx="1">
                  <c:v>32.853068779266991</c:v>
                </c:pt>
                <c:pt idx="2">
                  <c:v>27.949190092092657</c:v>
                </c:pt>
                <c:pt idx="3">
                  <c:v>12.521643385684417</c:v>
                </c:pt>
                <c:pt idx="4">
                  <c:v>6.8776876768065174</c:v>
                </c:pt>
                <c:pt idx="5">
                  <c:v>9.4089539502977395</c:v>
                </c:pt>
                <c:pt idx="6">
                  <c:v>17.955905432397874</c:v>
                </c:pt>
                <c:pt idx="7">
                  <c:v>20.159648563283621</c:v>
                </c:pt>
                <c:pt idx="8">
                  <c:v>28.689841810642417</c:v>
                </c:pt>
                <c:pt idx="9">
                  <c:v>17.765393008049724</c:v>
                </c:pt>
                <c:pt idx="10">
                  <c:v>63.163343139037792</c:v>
                </c:pt>
                <c:pt idx="11">
                  <c:v>52.686901667284104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0-40F6-A7E4-7F8C08091ED4}"/>
            </c:ext>
          </c:extLst>
        </c:ser>
        <c:ser>
          <c:idx val="4"/>
          <c:order val="4"/>
          <c:tx>
            <c:strRef>
              <c:f>'GCM Selection'!$G$105</c:f>
              <c:strCache>
                <c:ptCount val="1"/>
                <c:pt idx="0">
                  <c:v>Rain CCSM4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</c:spPr>
          <c:invertIfNegative val="0"/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Selection'!$G$106:$G$117</c:f>
              <c:numCache>
                <c:formatCode>General</c:formatCode>
                <c:ptCount val="12"/>
                <c:pt idx="0">
                  <c:v>10.59623194436994</c:v>
                </c:pt>
                <c:pt idx="1">
                  <c:v>20.608621216479779</c:v>
                </c:pt>
                <c:pt idx="2">
                  <c:v>29.50364249328938</c:v>
                </c:pt>
                <c:pt idx="3">
                  <c:v>10.916203014686271</c:v>
                </c:pt>
                <c:pt idx="4">
                  <c:v>29.700528713843784</c:v>
                </c:pt>
                <c:pt idx="5">
                  <c:v>95.322428508073159</c:v>
                </c:pt>
                <c:pt idx="6">
                  <c:v>235.60582395082054</c:v>
                </c:pt>
                <c:pt idx="7">
                  <c:v>254.01487182617421</c:v>
                </c:pt>
                <c:pt idx="8">
                  <c:v>230.26548158304763</c:v>
                </c:pt>
                <c:pt idx="9">
                  <c:v>50.117176821656017</c:v>
                </c:pt>
                <c:pt idx="10">
                  <c:v>35.629170172244848</c:v>
                </c:pt>
                <c:pt idx="11">
                  <c:v>43.79065443333549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0-40F6-A7E4-7F8C08091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449920"/>
        <c:axId val="310418816"/>
      </c:barChart>
      <c:lineChart>
        <c:grouping val="standard"/>
        <c:varyColors val="0"/>
        <c:ser>
          <c:idx val="5"/>
          <c:order val="5"/>
          <c:tx>
            <c:strRef>
              <c:f>'GCM Selection'!$H$105</c:f>
              <c:strCache>
                <c:ptCount val="1"/>
                <c:pt idx="0">
                  <c:v>Obs. Tmax</c:v>
                </c:pt>
              </c:strCache>
            </c:strRef>
          </c:tx>
          <c:spPr>
            <a:ln w="38100" cmpd="dbl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</c:spPr>
          <c:marker>
            <c:symbol val="circle"/>
            <c:size val="7"/>
            <c:spPr>
              <a:solidFill>
                <a:schemeClr val="tx2">
                  <a:lumMod val="75000"/>
                </a:schemeClr>
              </a:solidFill>
            </c:spPr>
          </c:marker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Selection'!$H$106:$H$117</c:f>
              <c:numCache>
                <c:formatCode>General</c:formatCode>
                <c:ptCount val="12"/>
                <c:pt idx="0">
                  <c:v>19.042012288786502</c:v>
                </c:pt>
                <c:pt idx="1">
                  <c:v>22.022534013605455</c:v>
                </c:pt>
                <c:pt idx="2">
                  <c:v>26.708832565284183</c:v>
                </c:pt>
                <c:pt idx="3">
                  <c:v>33.491190476190468</c:v>
                </c:pt>
                <c:pt idx="4">
                  <c:v>38.828110599078336</c:v>
                </c:pt>
                <c:pt idx="5">
                  <c:v>40.020079365079354</c:v>
                </c:pt>
                <c:pt idx="6">
                  <c:v>36.719662058371767</c:v>
                </c:pt>
                <c:pt idx="7">
                  <c:v>35.765591397849462</c:v>
                </c:pt>
                <c:pt idx="8">
                  <c:v>35.397698412698439</c:v>
                </c:pt>
                <c:pt idx="9">
                  <c:v>32.925806451612921</c:v>
                </c:pt>
                <c:pt idx="10">
                  <c:v>28.149206349206338</c:v>
                </c:pt>
                <c:pt idx="11">
                  <c:v>21.694930875576052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70-40F6-A7E4-7F8C08091ED4}"/>
            </c:ext>
          </c:extLst>
        </c:ser>
        <c:ser>
          <c:idx val="6"/>
          <c:order val="6"/>
          <c:tx>
            <c:strRef>
              <c:f>'GCM Selection'!$I$105</c:f>
              <c:strCache>
                <c:ptCount val="1"/>
                <c:pt idx="0">
                  <c:v>Tmax Nor-ESM1-M</c:v>
                </c:pt>
              </c:strCache>
            </c:strRef>
          </c:tx>
          <c:spPr>
            <a:ln w="38100" cmpd="dbl">
              <a:solidFill>
                <a:schemeClr val="accent2">
                  <a:lumMod val="50000"/>
                </a:schemeClr>
              </a:solidFill>
              <a:prstDash val="sysDash"/>
            </a:ln>
          </c:spPr>
          <c:marker>
            <c:symbol val="circle"/>
            <c:size val="7"/>
            <c:spPr>
              <a:solidFill>
                <a:schemeClr val="accent2">
                  <a:lumMod val="50000"/>
                </a:schemeClr>
              </a:solidFill>
            </c:spPr>
          </c:marker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Selection'!$I$106:$I$117</c:f>
              <c:numCache>
                <c:formatCode>General</c:formatCode>
                <c:ptCount val="12"/>
                <c:pt idx="0">
                  <c:v>17.433870967741921</c:v>
                </c:pt>
                <c:pt idx="1">
                  <c:v>19.864072512647571</c:v>
                </c:pt>
                <c:pt idx="2">
                  <c:v>25.212427035330258</c:v>
                </c:pt>
                <c:pt idx="3">
                  <c:v>33.079912698412691</c:v>
                </c:pt>
                <c:pt idx="4">
                  <c:v>39.756989247311822</c:v>
                </c:pt>
                <c:pt idx="5">
                  <c:v>42.819301587301567</c:v>
                </c:pt>
                <c:pt idx="6">
                  <c:v>43.800168970814127</c:v>
                </c:pt>
                <c:pt idx="7">
                  <c:v>41.14976958525348</c:v>
                </c:pt>
                <c:pt idx="8">
                  <c:v>35.263293650793663</c:v>
                </c:pt>
                <c:pt idx="9">
                  <c:v>29.82563748079879</c:v>
                </c:pt>
                <c:pt idx="10">
                  <c:v>23.482253968253982</c:v>
                </c:pt>
                <c:pt idx="11">
                  <c:v>17.696674418604644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70-40F6-A7E4-7F8C08091ED4}"/>
            </c:ext>
          </c:extLst>
        </c:ser>
        <c:ser>
          <c:idx val="7"/>
          <c:order val="7"/>
          <c:tx>
            <c:strRef>
              <c:f>'GCM Selection'!$J$105</c:f>
              <c:strCache>
                <c:ptCount val="1"/>
                <c:pt idx="0">
                  <c:v>Tmax CanESM2</c:v>
                </c:pt>
              </c:strCache>
            </c:strRef>
          </c:tx>
          <c:spPr>
            <a:ln w="38100" cmpd="dbl">
              <a:solidFill>
                <a:schemeClr val="accent3">
                  <a:lumMod val="75000"/>
                </a:schemeClr>
              </a:solidFill>
              <a:prstDash val="sysDash"/>
            </a:ln>
          </c:spPr>
          <c:marker>
            <c:symbol val="circle"/>
            <c:size val="7"/>
            <c:spPr>
              <a:solidFill>
                <a:schemeClr val="accent3">
                  <a:lumMod val="50000"/>
                </a:schemeClr>
              </a:solidFill>
            </c:spPr>
          </c:marker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Selection'!$J$106:$J$117</c:f>
              <c:numCache>
                <c:formatCode>General</c:formatCode>
                <c:ptCount val="12"/>
                <c:pt idx="0">
                  <c:v>15.951420890937017</c:v>
                </c:pt>
                <c:pt idx="1">
                  <c:v>18.705075143453094</c:v>
                </c:pt>
                <c:pt idx="2">
                  <c:v>23.830614439324137</c:v>
                </c:pt>
                <c:pt idx="3">
                  <c:v>30.665301587301599</c:v>
                </c:pt>
                <c:pt idx="4">
                  <c:v>36.943786482334865</c:v>
                </c:pt>
                <c:pt idx="5">
                  <c:v>41.550674603174599</c:v>
                </c:pt>
                <c:pt idx="6">
                  <c:v>38.795606758832591</c:v>
                </c:pt>
                <c:pt idx="7">
                  <c:v>35.06806451612902</c:v>
                </c:pt>
                <c:pt idx="8">
                  <c:v>33.292134920634929</c:v>
                </c:pt>
                <c:pt idx="9">
                  <c:v>29.004062980030696</c:v>
                </c:pt>
                <c:pt idx="10">
                  <c:v>21.176698412698386</c:v>
                </c:pt>
                <c:pt idx="11">
                  <c:v>16.876159289822425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70-40F6-A7E4-7F8C08091ED4}"/>
            </c:ext>
          </c:extLst>
        </c:ser>
        <c:ser>
          <c:idx val="8"/>
          <c:order val="8"/>
          <c:tx>
            <c:strRef>
              <c:f>'GCM Selection'!$K$105</c:f>
              <c:strCache>
                <c:ptCount val="1"/>
                <c:pt idx="0">
                  <c:v>Tmax BCC-CSM1.1</c:v>
                </c:pt>
              </c:strCache>
            </c:strRef>
          </c:tx>
          <c:spPr>
            <a:ln w="38100" cmpd="dbl">
              <a:solidFill>
                <a:schemeClr val="accent4">
                  <a:lumMod val="75000"/>
                </a:schemeClr>
              </a:solidFill>
              <a:prstDash val="sysDash"/>
            </a:ln>
          </c:spPr>
          <c:marker>
            <c:symbol val="circle"/>
            <c:size val="7"/>
            <c:spPr>
              <a:solidFill>
                <a:schemeClr val="accent4">
                  <a:lumMod val="50000"/>
                </a:schemeClr>
              </a:solidFill>
            </c:spPr>
          </c:marker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Selection'!$K$106:$K$117</c:f>
              <c:numCache>
                <c:formatCode>General</c:formatCode>
                <c:ptCount val="12"/>
                <c:pt idx="0">
                  <c:v>3.7917964669738882</c:v>
                </c:pt>
                <c:pt idx="1">
                  <c:v>7.6667909591006929</c:v>
                </c:pt>
                <c:pt idx="2">
                  <c:v>13.176646697388623</c:v>
                </c:pt>
                <c:pt idx="3">
                  <c:v>19.679002777777786</c:v>
                </c:pt>
                <c:pt idx="4">
                  <c:v>26.350500768049155</c:v>
                </c:pt>
                <c:pt idx="5">
                  <c:v>31.750200396825395</c:v>
                </c:pt>
                <c:pt idx="6">
                  <c:v>34.306941628264227</c:v>
                </c:pt>
                <c:pt idx="7">
                  <c:v>32.634637864823333</c:v>
                </c:pt>
                <c:pt idx="8">
                  <c:v>27.604309126984134</c:v>
                </c:pt>
                <c:pt idx="9">
                  <c:v>20.436366743471581</c:v>
                </c:pt>
                <c:pt idx="10">
                  <c:v>11.740284523809525</c:v>
                </c:pt>
                <c:pt idx="11">
                  <c:v>5.9347722320654404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70-40F6-A7E4-7F8C08091ED4}"/>
            </c:ext>
          </c:extLst>
        </c:ser>
        <c:ser>
          <c:idx val="9"/>
          <c:order val="9"/>
          <c:tx>
            <c:strRef>
              <c:f>'GCM Selection'!$L$105</c:f>
              <c:strCache>
                <c:ptCount val="1"/>
                <c:pt idx="0">
                  <c:v>Tmax CCSM4</c:v>
                </c:pt>
              </c:strCache>
            </c:strRef>
          </c:tx>
          <c:spPr>
            <a:ln w="38100" cmpd="dbl">
              <a:solidFill>
                <a:srgbClr val="FFC000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FFC000"/>
              </a:solidFill>
            </c:spPr>
          </c:marker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Selection'!$L$106:$L$117</c:f>
              <c:numCache>
                <c:formatCode>General</c:formatCode>
                <c:ptCount val="12"/>
                <c:pt idx="0">
                  <c:v>14.184641153371853</c:v>
                </c:pt>
                <c:pt idx="1">
                  <c:v>16.974265565739564</c:v>
                </c:pt>
                <c:pt idx="2">
                  <c:v>22.11779233870967</c:v>
                </c:pt>
                <c:pt idx="3">
                  <c:v>28.813375000000001</c:v>
                </c:pt>
                <c:pt idx="4">
                  <c:v>34.73615927419354</c:v>
                </c:pt>
                <c:pt idx="5">
                  <c:v>38.117302083333335</c:v>
                </c:pt>
                <c:pt idx="6">
                  <c:v>35.401975806451603</c:v>
                </c:pt>
                <c:pt idx="7">
                  <c:v>33.698296370967753</c:v>
                </c:pt>
                <c:pt idx="8">
                  <c:v>31.701114583333322</c:v>
                </c:pt>
                <c:pt idx="9">
                  <c:v>26.405131048387105</c:v>
                </c:pt>
                <c:pt idx="10">
                  <c:v>19.849499999999999</c:v>
                </c:pt>
                <c:pt idx="11">
                  <c:v>15.163365055462281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70-40F6-A7E4-7F8C08091ED4}"/>
            </c:ext>
          </c:extLst>
        </c:ser>
        <c:ser>
          <c:idx val="10"/>
          <c:order val="10"/>
          <c:tx>
            <c:strRef>
              <c:f>'GCM Selection'!$M$105</c:f>
              <c:strCache>
                <c:ptCount val="1"/>
                <c:pt idx="0">
                  <c:v>Obs. Tmin</c:v>
                </c:pt>
              </c:strCache>
            </c:strRef>
          </c:tx>
          <c:spPr>
            <a:ln w="38100" cmpd="sng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triangle"/>
            <c:size val="7"/>
            <c:spPr>
              <a:solidFill>
                <a:schemeClr val="tx2">
                  <a:lumMod val="75000"/>
                </a:schemeClr>
              </a:solidFill>
            </c:spPr>
          </c:marker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Selection'!$M$106:$M$117</c:f>
              <c:numCache>
                <c:formatCode>General</c:formatCode>
                <c:ptCount val="12"/>
                <c:pt idx="0">
                  <c:v>6.1862519201228849</c:v>
                </c:pt>
                <c:pt idx="1">
                  <c:v>8.7829497481960743</c:v>
                </c:pt>
                <c:pt idx="2">
                  <c:v>13.706298003072195</c:v>
                </c:pt>
                <c:pt idx="3">
                  <c:v>19.069285714285719</c:v>
                </c:pt>
                <c:pt idx="4">
                  <c:v>24.181950844854082</c:v>
                </c:pt>
                <c:pt idx="5">
                  <c:v>26.984047619047608</c:v>
                </c:pt>
                <c:pt idx="6">
                  <c:v>27.319969278033792</c:v>
                </c:pt>
                <c:pt idx="7">
                  <c:v>26.978648233486958</c:v>
                </c:pt>
                <c:pt idx="8">
                  <c:v>24.875476190476185</c:v>
                </c:pt>
                <c:pt idx="9">
                  <c:v>18.725115207373292</c:v>
                </c:pt>
                <c:pt idx="10">
                  <c:v>12.876111111111108</c:v>
                </c:pt>
                <c:pt idx="11">
                  <c:v>7.477534562211984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070-40F6-A7E4-7F8C08091ED4}"/>
            </c:ext>
          </c:extLst>
        </c:ser>
        <c:ser>
          <c:idx val="11"/>
          <c:order val="11"/>
          <c:tx>
            <c:strRef>
              <c:f>'GCM Selection'!$N$105</c:f>
              <c:strCache>
                <c:ptCount val="1"/>
                <c:pt idx="0">
                  <c:v>Tmin Nor-ESM1-M</c:v>
                </c:pt>
              </c:strCache>
            </c:strRef>
          </c:tx>
          <c:spPr>
            <a:ln w="38100">
              <a:solidFill>
                <a:schemeClr val="accent2">
                  <a:lumMod val="75000"/>
                </a:schemeClr>
              </a:solidFill>
            </a:ln>
          </c:spPr>
          <c:marker>
            <c:spPr>
              <a:solidFill>
                <a:schemeClr val="accent2">
                  <a:lumMod val="50000"/>
                </a:schemeClr>
              </a:solidFill>
            </c:spPr>
          </c:marker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Selection'!$N$106:$N$117</c:f>
              <c:numCache>
                <c:formatCode>General</c:formatCode>
                <c:ptCount val="12"/>
                <c:pt idx="0">
                  <c:v>1.7664900153609784</c:v>
                </c:pt>
                <c:pt idx="1">
                  <c:v>3.2838775510204115</c:v>
                </c:pt>
                <c:pt idx="2">
                  <c:v>6.7324654377880204</c:v>
                </c:pt>
                <c:pt idx="3">
                  <c:v>13.031587301587299</c:v>
                </c:pt>
                <c:pt idx="4">
                  <c:v>19.057012288786481</c:v>
                </c:pt>
                <c:pt idx="5">
                  <c:v>22.396706349206358</c:v>
                </c:pt>
                <c:pt idx="6">
                  <c:v>24.518901689708123</c:v>
                </c:pt>
                <c:pt idx="7">
                  <c:v>23.715122887864844</c:v>
                </c:pt>
                <c:pt idx="8">
                  <c:v>18.882373015873014</c:v>
                </c:pt>
                <c:pt idx="9">
                  <c:v>13.319761904761911</c:v>
                </c:pt>
                <c:pt idx="10">
                  <c:v>7.387412698412696</c:v>
                </c:pt>
                <c:pt idx="11">
                  <c:v>2.9150614439324092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070-40F6-A7E4-7F8C08091ED4}"/>
            </c:ext>
          </c:extLst>
        </c:ser>
        <c:ser>
          <c:idx val="12"/>
          <c:order val="12"/>
          <c:tx>
            <c:strRef>
              <c:f>'GCM Selection'!$O$105</c:f>
              <c:strCache>
                <c:ptCount val="1"/>
                <c:pt idx="0">
                  <c:v>Tmin CanESM2</c:v>
                </c:pt>
              </c:strCache>
            </c:strRef>
          </c:tx>
          <c:spPr>
            <a:ln w="38100">
              <a:solidFill>
                <a:schemeClr val="accent3">
                  <a:lumMod val="75000"/>
                </a:schemeClr>
              </a:solidFill>
            </a:ln>
          </c:spPr>
          <c:marker>
            <c:symbol val="triangle"/>
            <c:size val="7"/>
            <c:spPr>
              <a:solidFill>
                <a:schemeClr val="accent3">
                  <a:lumMod val="50000"/>
                </a:schemeClr>
              </a:solidFill>
            </c:spPr>
          </c:marker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Selection'!$O$106:$O$117</c:f>
              <c:numCache>
                <c:formatCode>General</c:formatCode>
                <c:ptCount val="12"/>
                <c:pt idx="0">
                  <c:v>5.0384331797235076</c:v>
                </c:pt>
                <c:pt idx="1">
                  <c:v>7.0064965986394654</c:v>
                </c:pt>
                <c:pt idx="2">
                  <c:v>11.60238095238094</c:v>
                </c:pt>
                <c:pt idx="3">
                  <c:v>17.278833333333338</c:v>
                </c:pt>
                <c:pt idx="4">
                  <c:v>22.365791090629791</c:v>
                </c:pt>
                <c:pt idx="5">
                  <c:v>26.296880952380945</c:v>
                </c:pt>
                <c:pt idx="6">
                  <c:v>27.123947772657445</c:v>
                </c:pt>
                <c:pt idx="7">
                  <c:v>25.802288786482308</c:v>
                </c:pt>
                <c:pt idx="8">
                  <c:v>22.037579365079353</c:v>
                </c:pt>
                <c:pt idx="9">
                  <c:v>15.398325652841777</c:v>
                </c:pt>
                <c:pt idx="10">
                  <c:v>9.219079365079363</c:v>
                </c:pt>
                <c:pt idx="11">
                  <c:v>5.8422964669738811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070-40F6-A7E4-7F8C08091ED4}"/>
            </c:ext>
          </c:extLst>
        </c:ser>
        <c:ser>
          <c:idx val="13"/>
          <c:order val="13"/>
          <c:tx>
            <c:strRef>
              <c:f>'GCM Selection'!$P$105</c:f>
              <c:strCache>
                <c:ptCount val="1"/>
                <c:pt idx="0">
                  <c:v>Tmin BCC-CSM1.1</c:v>
                </c:pt>
              </c:strCache>
            </c:strRef>
          </c:tx>
          <c:spPr>
            <a:ln w="38100">
              <a:solidFill>
                <a:schemeClr val="accent4">
                  <a:lumMod val="75000"/>
                </a:schemeClr>
              </a:solidFill>
            </a:ln>
          </c:spPr>
          <c:marker>
            <c:symbol val="triangle"/>
            <c:size val="7"/>
            <c:spPr>
              <a:solidFill>
                <a:schemeClr val="accent4">
                  <a:lumMod val="50000"/>
                </a:schemeClr>
              </a:solidFill>
            </c:spPr>
          </c:marker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Selection'!$P$106:$P$117</c:f>
              <c:numCache>
                <c:formatCode>General</c:formatCode>
                <c:ptCount val="12"/>
                <c:pt idx="0">
                  <c:v>-6.1022964669738897</c:v>
                </c:pt>
                <c:pt idx="1">
                  <c:v>-3.528469387755099</c:v>
                </c:pt>
                <c:pt idx="2">
                  <c:v>-0.68026113671274946</c:v>
                </c:pt>
                <c:pt idx="3">
                  <c:v>3.6275317460317464</c:v>
                </c:pt>
                <c:pt idx="4">
                  <c:v>8.4380875576036871</c:v>
                </c:pt>
                <c:pt idx="5">
                  <c:v>13.075301587301576</c:v>
                </c:pt>
                <c:pt idx="6">
                  <c:v>15.048302611367124</c:v>
                </c:pt>
                <c:pt idx="7">
                  <c:v>13.639516129032264</c:v>
                </c:pt>
                <c:pt idx="8">
                  <c:v>10.608603174603171</c:v>
                </c:pt>
                <c:pt idx="9">
                  <c:v>5.9229646697388656</c:v>
                </c:pt>
                <c:pt idx="10">
                  <c:v>0.83957936507936559</c:v>
                </c:pt>
                <c:pt idx="11">
                  <c:v>-3.0859216589861762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070-40F6-A7E4-7F8C08091ED4}"/>
            </c:ext>
          </c:extLst>
        </c:ser>
        <c:ser>
          <c:idx val="14"/>
          <c:order val="14"/>
          <c:tx>
            <c:strRef>
              <c:f>'GCM Selection'!$Q$105</c:f>
              <c:strCache>
                <c:ptCount val="1"/>
                <c:pt idx="0">
                  <c:v>Tmin CCSM4</c:v>
                </c:pt>
              </c:strCache>
            </c:strRef>
          </c:tx>
          <c:spPr>
            <a:ln w="38100">
              <a:solidFill>
                <a:srgbClr val="FFC000"/>
              </a:solidFill>
            </a:ln>
          </c:spPr>
          <c:marker>
            <c:symbol val="triangle"/>
            <c:size val="7"/>
            <c:spPr>
              <a:solidFill>
                <a:srgbClr val="FFC000"/>
              </a:solidFill>
            </c:spPr>
          </c:marker>
          <c:cat>
            <c:strRef>
              <c:f>'GCM Selection'!$B$106:$B$117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'GCM Selection'!$Q$106:$Q$117</c:f>
              <c:numCache>
                <c:formatCode>General</c:formatCode>
                <c:ptCount val="12"/>
                <c:pt idx="0">
                  <c:v>8.210040322580646</c:v>
                </c:pt>
                <c:pt idx="1">
                  <c:v>10.296462053571421</c:v>
                </c:pt>
                <c:pt idx="2">
                  <c:v>14.949758064516139</c:v>
                </c:pt>
                <c:pt idx="3">
                  <c:v>20.872604166666676</c:v>
                </c:pt>
                <c:pt idx="4">
                  <c:v>26.792147177419366</c:v>
                </c:pt>
                <c:pt idx="5">
                  <c:v>31.203427083333338</c:v>
                </c:pt>
                <c:pt idx="6">
                  <c:v>31.298044354838709</c:v>
                </c:pt>
                <c:pt idx="7">
                  <c:v>30.14938508064516</c:v>
                </c:pt>
                <c:pt idx="8">
                  <c:v>27.8855</c:v>
                </c:pt>
                <c:pt idx="9">
                  <c:v>21.285211693548383</c:v>
                </c:pt>
                <c:pt idx="10">
                  <c:v>14.65121875</c:v>
                </c:pt>
                <c:pt idx="11">
                  <c:v>10.34448588709677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070-40F6-A7E4-7F8C08091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043712"/>
        <c:axId val="310138752"/>
      </c:lineChart>
      <c:catAx>
        <c:axId val="303043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19050">
            <a:noFill/>
          </a:ln>
        </c:spPr>
        <c:crossAx val="310138752"/>
        <c:crossesAt val="0"/>
        <c:auto val="0"/>
        <c:lblAlgn val="ctr"/>
        <c:lblOffset val="100"/>
        <c:noMultiLvlLbl val="0"/>
      </c:catAx>
      <c:valAx>
        <c:axId val="310138752"/>
        <c:scaling>
          <c:orientation val="minMax"/>
          <c:max val="50"/>
          <c:min val="-1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mpd="sng">
            <a:solidFill>
              <a:schemeClr val="tx1"/>
            </a:solidFill>
          </a:ln>
        </c:spPr>
        <c:crossAx val="303043712"/>
        <c:crosses val="autoZero"/>
        <c:crossBetween val="between"/>
        <c:majorUnit val="5"/>
        <c:minorUnit val="5"/>
      </c:valAx>
      <c:valAx>
        <c:axId val="310418816"/>
        <c:scaling>
          <c:orientation val="minMax"/>
          <c:max val="275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 b="1">
                    <a:effectLst/>
                    <a:latin typeface="Arial" pitchFamily="34" charset="0"/>
                    <a:cs typeface="Arial" pitchFamily="34" charset="0"/>
                  </a:rPr>
                  <a:t>Rainfall</a:t>
                </a:r>
                <a:r>
                  <a:rPr lang="en-US" sz="1200" b="1" baseline="0">
                    <a:effectLst/>
                    <a:latin typeface="Arial" pitchFamily="34" charset="0"/>
                    <a:cs typeface="Arial" pitchFamily="34" charset="0"/>
                  </a:rPr>
                  <a:t> (mm)</a:t>
                </a:r>
                <a:endParaRPr lang="en-US" sz="1000">
                  <a:effectLst/>
                  <a:latin typeface="Arial" pitchFamily="34" charset="0"/>
                  <a:cs typeface="Arial" pitchFamily="34" charset="0"/>
                </a:endParaRPr>
              </a:p>
            </c:rich>
          </c:tx>
          <c:layout>
            <c:manualLayout>
              <c:xMode val="edge"/>
              <c:yMode val="edge"/>
              <c:x val="0.9594907407407407"/>
              <c:y val="0.3506273694954797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88449920"/>
        <c:crosses val="max"/>
        <c:crossBetween val="between"/>
        <c:majorUnit val="25"/>
        <c:minorUnit val="10"/>
      </c:valAx>
      <c:catAx>
        <c:axId val="188449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041881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0082294400699912"/>
          <c:y val="2.0833333333333332E-2"/>
          <c:w val="0.81159476159230093"/>
          <c:h val="9.0614246135899662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7.9496230076881683E-2"/>
          <c:y val="0.20615007581452705"/>
          <c:w val="0.83387011519393406"/>
          <c:h val="0.627989603905374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'GCM Cal.'!$C$7</c:f>
              <c:strCache>
                <c:ptCount val="1"/>
                <c:pt idx="0">
                  <c:v>Obs. Rainfall LHR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Cal.'!$C$8:$C$19</c:f>
              <c:numCache>
                <c:formatCode>General</c:formatCode>
                <c:ptCount val="12"/>
                <c:pt idx="0">
                  <c:v>21.9818</c:v>
                </c:pt>
                <c:pt idx="1">
                  <c:v>44.045499999999997</c:v>
                </c:pt>
                <c:pt idx="2">
                  <c:v>35.818199999999997</c:v>
                </c:pt>
                <c:pt idx="3">
                  <c:v>19.454499999999999</c:v>
                </c:pt>
                <c:pt idx="4">
                  <c:v>19.636399999999998</c:v>
                </c:pt>
                <c:pt idx="5">
                  <c:v>42.7545</c:v>
                </c:pt>
                <c:pt idx="6">
                  <c:v>167.66399999999999</c:v>
                </c:pt>
                <c:pt idx="7">
                  <c:v>178.2</c:v>
                </c:pt>
                <c:pt idx="8">
                  <c:v>85.7273</c:v>
                </c:pt>
                <c:pt idx="9">
                  <c:v>19.872699999999998</c:v>
                </c:pt>
                <c:pt idx="10">
                  <c:v>3.1818200000000001</c:v>
                </c:pt>
                <c:pt idx="11">
                  <c:v>14.7455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A-474D-BDC7-540D3F1F79F8}"/>
            </c:ext>
          </c:extLst>
        </c:ser>
        <c:ser>
          <c:idx val="1"/>
          <c:order val="1"/>
          <c:tx>
            <c:strRef>
              <c:f>'GCM Cal.'!$D$7</c:f>
              <c:strCache>
                <c:ptCount val="1"/>
                <c:pt idx="0">
                  <c:v>NCEP Rainfall LHR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accent3">
                  <a:lumMod val="50000"/>
                </a:schemeClr>
              </a:bgClr>
            </a:pattFill>
            <a:ln w="38100" cap="rnd" cmpd="dbl">
              <a:noFill/>
              <a:prstDash val="sysDash"/>
            </a:ln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Cal.'!$D$8:$D$19</c:f>
              <c:numCache>
                <c:formatCode>General</c:formatCode>
                <c:ptCount val="12"/>
                <c:pt idx="0">
                  <c:v>26.801500000000001</c:v>
                </c:pt>
                <c:pt idx="1">
                  <c:v>57.099699999999999</c:v>
                </c:pt>
                <c:pt idx="2">
                  <c:v>26.4481</c:v>
                </c:pt>
                <c:pt idx="3">
                  <c:v>16.2544</c:v>
                </c:pt>
                <c:pt idx="4">
                  <c:v>31.334499999999998</c:v>
                </c:pt>
                <c:pt idx="5">
                  <c:v>32.764800000000001</c:v>
                </c:pt>
                <c:pt idx="6">
                  <c:v>230.67</c:v>
                </c:pt>
                <c:pt idx="7">
                  <c:v>251.136</c:v>
                </c:pt>
                <c:pt idx="8">
                  <c:v>146.89699999999999</c:v>
                </c:pt>
                <c:pt idx="9">
                  <c:v>17.222799999999999</c:v>
                </c:pt>
                <c:pt idx="10">
                  <c:v>2.76118</c:v>
                </c:pt>
                <c:pt idx="11">
                  <c:v>17.726600000000001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A-474D-BDC7-540D3F1F79F8}"/>
            </c:ext>
          </c:extLst>
        </c:ser>
        <c:ser>
          <c:idx val="2"/>
          <c:order val="2"/>
          <c:tx>
            <c:strRef>
              <c:f>'GCM Cal.'!$E$7</c:f>
              <c:strCache>
                <c:ptCount val="1"/>
                <c:pt idx="0">
                  <c:v>Obs. Rainfall FSD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Cal.'!$E$8:$E$19</c:f>
              <c:numCache>
                <c:formatCode>0.000</c:formatCode>
                <c:ptCount val="12"/>
                <c:pt idx="0">
                  <c:v>9.4181818181818198</c:v>
                </c:pt>
                <c:pt idx="1">
                  <c:v>17.172727272727272</c:v>
                </c:pt>
                <c:pt idx="2">
                  <c:v>16.472727272727269</c:v>
                </c:pt>
                <c:pt idx="3">
                  <c:v>27.86363636363636</c:v>
                </c:pt>
                <c:pt idx="4">
                  <c:v>16.554545454545455</c:v>
                </c:pt>
                <c:pt idx="5">
                  <c:v>26.872727272727264</c:v>
                </c:pt>
                <c:pt idx="6">
                  <c:v>87.454545454545467</c:v>
                </c:pt>
                <c:pt idx="7">
                  <c:v>57.06363636363637</c:v>
                </c:pt>
                <c:pt idx="8">
                  <c:v>33.190909090909095</c:v>
                </c:pt>
                <c:pt idx="9">
                  <c:v>1.4090909090909092</c:v>
                </c:pt>
                <c:pt idx="10">
                  <c:v>1.4090909090909092</c:v>
                </c:pt>
                <c:pt idx="11">
                  <c:v>6.254545454545454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7A-474D-BDC7-540D3F1F79F8}"/>
            </c:ext>
          </c:extLst>
        </c:ser>
        <c:ser>
          <c:idx val="3"/>
          <c:order val="3"/>
          <c:tx>
            <c:strRef>
              <c:f>'GCM Cal.'!$F$7</c:f>
              <c:strCache>
                <c:ptCount val="1"/>
                <c:pt idx="0">
                  <c:v>NCEP Rainfall FSD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accent2">
                  <a:lumMod val="50000"/>
                </a:schemeClr>
              </a:bgClr>
            </a:pattFill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Cal.'!$F$8:$F$19</c:f>
              <c:numCache>
                <c:formatCode>0.000</c:formatCode>
                <c:ptCount val="12"/>
                <c:pt idx="0">
                  <c:v>18.54</c:v>
                </c:pt>
                <c:pt idx="1">
                  <c:v>46.417700000000004</c:v>
                </c:pt>
                <c:pt idx="2">
                  <c:v>10.3649</c:v>
                </c:pt>
                <c:pt idx="3">
                  <c:v>43.221499999999999</c:v>
                </c:pt>
                <c:pt idx="4">
                  <c:v>24.241700000000002</c:v>
                </c:pt>
                <c:pt idx="5">
                  <c:v>34.729599999999998</c:v>
                </c:pt>
                <c:pt idx="6">
                  <c:v>101.992</c:v>
                </c:pt>
                <c:pt idx="7">
                  <c:v>54.606400000000001</c:v>
                </c:pt>
                <c:pt idx="8">
                  <c:v>49.419499999999999</c:v>
                </c:pt>
                <c:pt idx="9">
                  <c:v>0</c:v>
                </c:pt>
                <c:pt idx="10">
                  <c:v>1.8621799999999999</c:v>
                </c:pt>
                <c:pt idx="11">
                  <c:v>15.170500000000001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7A-474D-BDC7-540D3F1F79F8}"/>
            </c:ext>
          </c:extLst>
        </c:ser>
        <c:ser>
          <c:idx val="4"/>
          <c:order val="4"/>
          <c:tx>
            <c:strRef>
              <c:f>'GCM Cal.'!$G$7</c:f>
              <c:strCache>
                <c:ptCount val="1"/>
                <c:pt idx="0">
                  <c:v>Obs. Rainfall SGD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Cal.'!$G$8:$G$19</c:f>
              <c:numCache>
                <c:formatCode>0.000</c:formatCode>
                <c:ptCount val="12"/>
                <c:pt idx="0">
                  <c:v>21.355</c:v>
                </c:pt>
                <c:pt idx="1">
                  <c:v>38.494999999999997</c:v>
                </c:pt>
                <c:pt idx="2">
                  <c:v>44.05</c:v>
                </c:pt>
                <c:pt idx="3">
                  <c:v>47.784999999999997</c:v>
                </c:pt>
                <c:pt idx="4">
                  <c:v>23.055</c:v>
                </c:pt>
                <c:pt idx="5">
                  <c:v>34.924999999999997</c:v>
                </c:pt>
                <c:pt idx="6">
                  <c:v>94.094999999999999</c:v>
                </c:pt>
                <c:pt idx="7">
                  <c:v>77.040000000000006</c:v>
                </c:pt>
                <c:pt idx="8">
                  <c:v>29.925000000000001</c:v>
                </c:pt>
                <c:pt idx="9">
                  <c:v>10.52</c:v>
                </c:pt>
                <c:pt idx="10">
                  <c:v>9.7349999999999994</c:v>
                </c:pt>
                <c:pt idx="11">
                  <c:v>11.775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7A-474D-BDC7-540D3F1F79F8}"/>
            </c:ext>
          </c:extLst>
        </c:ser>
        <c:ser>
          <c:idx val="5"/>
          <c:order val="5"/>
          <c:tx>
            <c:strRef>
              <c:f>'GCM Cal.'!$H$7</c:f>
              <c:strCache>
                <c:ptCount val="1"/>
                <c:pt idx="0">
                  <c:v>NCEP Rainfall SGD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accent6">
                  <a:lumMod val="50000"/>
                </a:schemeClr>
              </a:bgClr>
            </a:pattFill>
            <a:ln w="38100" cap="rnd" cmpd="sng">
              <a:noFill/>
              <a:prstDash val="solid"/>
            </a:ln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Cal.'!$H$8:$H$19</c:f>
              <c:numCache>
                <c:formatCode>0.000</c:formatCode>
                <c:ptCount val="12"/>
                <c:pt idx="0">
                  <c:v>18.914999999999999</c:v>
                </c:pt>
                <c:pt idx="1">
                  <c:v>37.873399999999997</c:v>
                </c:pt>
                <c:pt idx="2">
                  <c:v>27.043800000000001</c:v>
                </c:pt>
                <c:pt idx="3">
                  <c:v>29.869599999999998</c:v>
                </c:pt>
                <c:pt idx="4">
                  <c:v>9.4254999999999995</c:v>
                </c:pt>
                <c:pt idx="5">
                  <c:v>44.288200000000003</c:v>
                </c:pt>
                <c:pt idx="6">
                  <c:v>147.155</c:v>
                </c:pt>
                <c:pt idx="7">
                  <c:v>122.96899999999999</c:v>
                </c:pt>
                <c:pt idx="8">
                  <c:v>37.607599999999998</c:v>
                </c:pt>
                <c:pt idx="9">
                  <c:v>12.508900000000001</c:v>
                </c:pt>
                <c:pt idx="10">
                  <c:v>13.638999999999999</c:v>
                </c:pt>
                <c:pt idx="11">
                  <c:v>15.354900000000001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7A-474D-BDC7-540D3F1F7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521088"/>
        <c:axId val="188519168"/>
      </c:barChart>
      <c:lineChart>
        <c:grouping val="standard"/>
        <c:varyColors val="0"/>
        <c:ser>
          <c:idx val="8"/>
          <c:order val="6"/>
          <c:tx>
            <c:strRef>
              <c:f>'GCM Cal.'!$L$7</c:f>
              <c:strCache>
                <c:ptCount val="1"/>
                <c:pt idx="0">
                  <c:v>Obs. Tmax LHR</c:v>
                </c:pt>
              </c:strCache>
            </c:strRef>
          </c:tx>
          <c:spPr>
            <a:ln w="38100" cmpd="sng">
              <a:solidFill>
                <a:schemeClr val="accent3">
                  <a:lumMod val="50000"/>
                </a:schemeClr>
              </a:solidFill>
              <a:prstDash val="solid"/>
            </a:ln>
          </c:spPr>
          <c:marker>
            <c:symbol val="diamond"/>
            <c:size val="6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Cal.'!$L$8:$L$19</c:f>
              <c:numCache>
                <c:formatCode>0.000</c:formatCode>
                <c:ptCount val="12"/>
                <c:pt idx="0">
                  <c:v>19.239999999999998</c:v>
                </c:pt>
                <c:pt idx="1">
                  <c:v>22.55</c:v>
                </c:pt>
                <c:pt idx="2">
                  <c:v>27.46</c:v>
                </c:pt>
                <c:pt idx="3">
                  <c:v>34.26</c:v>
                </c:pt>
                <c:pt idx="4">
                  <c:v>38.909999999999997</c:v>
                </c:pt>
                <c:pt idx="5">
                  <c:v>39.25</c:v>
                </c:pt>
                <c:pt idx="6">
                  <c:v>35.729999999999997</c:v>
                </c:pt>
                <c:pt idx="7">
                  <c:v>34.909999999999997</c:v>
                </c:pt>
                <c:pt idx="8">
                  <c:v>34.76</c:v>
                </c:pt>
                <c:pt idx="9">
                  <c:v>32.450000000000003</c:v>
                </c:pt>
                <c:pt idx="10">
                  <c:v>27.65</c:v>
                </c:pt>
                <c:pt idx="11">
                  <c:v>21.69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7A-474D-BDC7-540D3F1F79F8}"/>
            </c:ext>
          </c:extLst>
        </c:ser>
        <c:ser>
          <c:idx val="9"/>
          <c:order val="7"/>
          <c:tx>
            <c:strRef>
              <c:f>'GCM Cal.'!$M$7</c:f>
              <c:strCache>
                <c:ptCount val="1"/>
                <c:pt idx="0">
                  <c:v>NCEP Tmax LHR</c:v>
                </c:pt>
              </c:strCache>
            </c:strRef>
          </c:tx>
          <c:spPr>
            <a:ln w="38100" cap="sq" cmpd="sng">
              <a:solidFill>
                <a:schemeClr val="accent3">
                  <a:lumMod val="50000"/>
                </a:schemeClr>
              </a:solidFill>
              <a:prstDash val="sysDash"/>
              <a:round/>
              <a:headEnd w="sm" len="sm"/>
            </a:ln>
          </c:spPr>
          <c:marker>
            <c:symbol val="diamond"/>
            <c:size val="6"/>
            <c:spPr>
              <a:pattFill prst="dkUpDiag">
                <a:fgClr>
                  <a:schemeClr val="tx1"/>
                </a:fgClr>
                <a:bgClr>
                  <a:schemeClr val="accent3">
                    <a:lumMod val="50000"/>
                  </a:schemeClr>
                </a:bgClr>
              </a:pattFill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Cal.'!$M$8:$M$19</c:f>
              <c:numCache>
                <c:formatCode>0.000</c:formatCode>
                <c:ptCount val="12"/>
                <c:pt idx="0">
                  <c:v>19.02</c:v>
                </c:pt>
                <c:pt idx="1">
                  <c:v>22.97</c:v>
                </c:pt>
                <c:pt idx="2">
                  <c:v>27.72</c:v>
                </c:pt>
                <c:pt idx="3">
                  <c:v>35.119999999999997</c:v>
                </c:pt>
                <c:pt idx="4">
                  <c:v>39.979999999999997</c:v>
                </c:pt>
                <c:pt idx="5">
                  <c:v>38.119999999999997</c:v>
                </c:pt>
                <c:pt idx="6">
                  <c:v>35.04</c:v>
                </c:pt>
                <c:pt idx="7">
                  <c:v>35.25</c:v>
                </c:pt>
                <c:pt idx="8">
                  <c:v>34.67</c:v>
                </c:pt>
                <c:pt idx="9">
                  <c:v>32.200000000000003</c:v>
                </c:pt>
                <c:pt idx="10">
                  <c:v>28.49</c:v>
                </c:pt>
                <c:pt idx="11">
                  <c:v>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7A-474D-BDC7-540D3F1F79F8}"/>
            </c:ext>
          </c:extLst>
        </c:ser>
        <c:ser>
          <c:idx val="10"/>
          <c:order val="8"/>
          <c:tx>
            <c:strRef>
              <c:f>'GCM Cal.'!$N$7</c:f>
              <c:strCache>
                <c:ptCount val="1"/>
                <c:pt idx="0">
                  <c:v>Obs. Tmax FSD</c:v>
                </c:pt>
              </c:strCache>
            </c:strRef>
          </c:tx>
          <c:spPr>
            <a:ln w="38100" cap="rnd" cmpd="sng">
              <a:solidFill>
                <a:schemeClr val="accent2">
                  <a:lumMod val="50000"/>
                </a:schemeClr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Cal.'!$N$8:$N$19</c:f>
              <c:numCache>
                <c:formatCode>0.000</c:formatCode>
                <c:ptCount val="12"/>
                <c:pt idx="0">
                  <c:v>19.639600000000002</c:v>
                </c:pt>
                <c:pt idx="1">
                  <c:v>22.2087</c:v>
                </c:pt>
                <c:pt idx="2">
                  <c:v>26.349599999999999</c:v>
                </c:pt>
                <c:pt idx="3">
                  <c:v>32.839399999999998</c:v>
                </c:pt>
                <c:pt idx="4">
                  <c:v>38.926699999999997</c:v>
                </c:pt>
                <c:pt idx="5">
                  <c:v>40.9345</c:v>
                </c:pt>
                <c:pt idx="6">
                  <c:v>37.195300000000003</c:v>
                </c:pt>
                <c:pt idx="7">
                  <c:v>36.394100000000002</c:v>
                </c:pt>
                <c:pt idx="8">
                  <c:v>35.675199999999997</c:v>
                </c:pt>
                <c:pt idx="9">
                  <c:v>32.793500000000002</c:v>
                </c:pt>
                <c:pt idx="10">
                  <c:v>27.597000000000001</c:v>
                </c:pt>
                <c:pt idx="11">
                  <c:v>21.654800000000002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7A-474D-BDC7-540D3F1F79F8}"/>
            </c:ext>
          </c:extLst>
        </c:ser>
        <c:ser>
          <c:idx val="11"/>
          <c:order val="9"/>
          <c:tx>
            <c:strRef>
              <c:f>'GCM Cal.'!$O$7</c:f>
              <c:strCache>
                <c:ptCount val="1"/>
                <c:pt idx="0">
                  <c:v>NCEP Tmax FSD</c:v>
                </c:pt>
              </c:strCache>
            </c:strRef>
          </c:tx>
          <c:spPr>
            <a:ln w="38100">
              <a:solidFill>
                <a:schemeClr val="accent2">
                  <a:lumMod val="50000"/>
                </a:schemeClr>
              </a:solidFill>
              <a:prstDash val="sysDash"/>
            </a:ln>
          </c:spPr>
          <c:marker>
            <c:symbol val="triangle"/>
            <c:size val="6"/>
            <c:spPr>
              <a:pattFill prst="dkUpDiag">
                <a:fgClr>
                  <a:schemeClr val="tx1"/>
                </a:fgClr>
                <a:bgClr>
                  <a:schemeClr val="accent2">
                    <a:lumMod val="50000"/>
                  </a:schemeClr>
                </a:bgClr>
              </a:pattFill>
              <a:ln w="9525" cap="sq" cmpd="sng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Cal.'!$O$8:$O$19</c:f>
              <c:numCache>
                <c:formatCode>0.000</c:formatCode>
                <c:ptCount val="12"/>
                <c:pt idx="0">
                  <c:v>19.350000000000001</c:v>
                </c:pt>
                <c:pt idx="1">
                  <c:v>22.55</c:v>
                </c:pt>
                <c:pt idx="2">
                  <c:v>26.58</c:v>
                </c:pt>
                <c:pt idx="3">
                  <c:v>31.87</c:v>
                </c:pt>
                <c:pt idx="4">
                  <c:v>39.508000000000003</c:v>
                </c:pt>
                <c:pt idx="5">
                  <c:v>41.938000000000002</c:v>
                </c:pt>
                <c:pt idx="6">
                  <c:v>38.197699999999998</c:v>
                </c:pt>
                <c:pt idx="7">
                  <c:v>37.17</c:v>
                </c:pt>
                <c:pt idx="8">
                  <c:v>35.770000000000003</c:v>
                </c:pt>
                <c:pt idx="9">
                  <c:v>32.520000000000003</c:v>
                </c:pt>
                <c:pt idx="10">
                  <c:v>27.021999999999998</c:v>
                </c:pt>
                <c:pt idx="11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7A-474D-BDC7-540D3F1F79F8}"/>
            </c:ext>
          </c:extLst>
        </c:ser>
        <c:ser>
          <c:idx val="12"/>
          <c:order val="10"/>
          <c:tx>
            <c:strRef>
              <c:f>'GCM Cal.'!$P$7</c:f>
              <c:strCache>
                <c:ptCount val="1"/>
                <c:pt idx="0">
                  <c:v>Obs. Tmax SGD</c:v>
                </c:pt>
              </c:strCache>
            </c:strRef>
          </c:tx>
          <c:spPr>
            <a:ln w="38100" cap="sq">
              <a:solidFill>
                <a:schemeClr val="accent6">
                  <a:lumMod val="50000"/>
                </a:schemeClr>
              </a:solidFill>
            </a:ln>
          </c:spPr>
          <c:marker>
            <c:symbol val="square"/>
            <c:size val="6"/>
            <c:spPr>
              <a:noFill/>
              <a:ln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Cal.'!$P$8:$P$19</c:f>
              <c:numCache>
                <c:formatCode>0.000</c:formatCode>
                <c:ptCount val="12"/>
                <c:pt idx="0">
                  <c:v>18.8</c:v>
                </c:pt>
                <c:pt idx="1">
                  <c:v>22.123000000000001</c:v>
                </c:pt>
                <c:pt idx="2">
                  <c:v>28.282900000000001</c:v>
                </c:pt>
                <c:pt idx="3">
                  <c:v>33.409999999999997</c:v>
                </c:pt>
                <c:pt idx="4">
                  <c:v>39.974200000000003</c:v>
                </c:pt>
                <c:pt idx="5">
                  <c:v>39.369999999999997</c:v>
                </c:pt>
                <c:pt idx="6">
                  <c:v>37.048999999999999</c:v>
                </c:pt>
                <c:pt idx="7">
                  <c:v>35.877000000000002</c:v>
                </c:pt>
                <c:pt idx="8">
                  <c:v>35.468299999999999</c:v>
                </c:pt>
                <c:pt idx="9">
                  <c:v>34.029000000000003</c:v>
                </c:pt>
                <c:pt idx="10">
                  <c:v>27.34</c:v>
                </c:pt>
                <c:pt idx="11">
                  <c:v>21.673999999999999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7A-474D-BDC7-540D3F1F79F8}"/>
            </c:ext>
          </c:extLst>
        </c:ser>
        <c:ser>
          <c:idx val="13"/>
          <c:order val="11"/>
          <c:tx>
            <c:strRef>
              <c:f>'GCM Cal.'!$Q$7</c:f>
              <c:strCache>
                <c:ptCount val="1"/>
                <c:pt idx="0">
                  <c:v>NCEP Tmax SGD</c:v>
                </c:pt>
              </c:strCache>
            </c:strRef>
          </c:tx>
          <c:spPr>
            <a:ln w="38100">
              <a:solidFill>
                <a:schemeClr val="accent6">
                  <a:lumMod val="50000"/>
                </a:schemeClr>
              </a:solidFill>
              <a:prstDash val="sysDash"/>
            </a:ln>
          </c:spPr>
          <c:marker>
            <c:symbol val="square"/>
            <c:size val="6"/>
            <c:spPr>
              <a:pattFill prst="dkUpDiag">
                <a:fgClr>
                  <a:schemeClr val="tx1"/>
                </a:fgClr>
                <a:bgClr>
                  <a:schemeClr val="accent6">
                    <a:lumMod val="50000"/>
                  </a:schemeClr>
                </a:bgClr>
              </a:pattFill>
              <a:ln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Cal.'!$Q$8:$Q$19</c:f>
              <c:numCache>
                <c:formatCode>0.000</c:formatCode>
                <c:ptCount val="12"/>
                <c:pt idx="0">
                  <c:v>18.860600000000002</c:v>
                </c:pt>
                <c:pt idx="1">
                  <c:v>22.2135</c:v>
                </c:pt>
                <c:pt idx="2">
                  <c:v>28.3659</c:v>
                </c:pt>
                <c:pt idx="3">
                  <c:v>34.478499999999997</c:v>
                </c:pt>
                <c:pt idx="4">
                  <c:v>40.028100000000002</c:v>
                </c:pt>
                <c:pt idx="5">
                  <c:v>40.706000000000003</c:v>
                </c:pt>
                <c:pt idx="6">
                  <c:v>36.97</c:v>
                </c:pt>
                <c:pt idx="7">
                  <c:v>36.106900000000003</c:v>
                </c:pt>
                <c:pt idx="8">
                  <c:v>35.515300000000003</c:v>
                </c:pt>
                <c:pt idx="9">
                  <c:v>33.491</c:v>
                </c:pt>
                <c:pt idx="10">
                  <c:v>27.478400000000001</c:v>
                </c:pt>
                <c:pt idx="11">
                  <c:v>22.1128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87A-474D-BDC7-540D3F1F79F8}"/>
            </c:ext>
          </c:extLst>
        </c:ser>
        <c:ser>
          <c:idx val="16"/>
          <c:order val="12"/>
          <c:tx>
            <c:strRef>
              <c:f>'GCM Cal.'!$U$7</c:f>
              <c:strCache>
                <c:ptCount val="1"/>
                <c:pt idx="0">
                  <c:v>Obs. Tmin LHR</c:v>
                </c:pt>
              </c:strCache>
            </c:strRef>
          </c:tx>
          <c:spPr>
            <a:ln w="38100" cap="rnd" cmpd="dbl">
              <a:solidFill>
                <a:schemeClr val="accent3">
                  <a:lumMod val="50000"/>
                </a:schemeClr>
              </a:solidFill>
              <a:bevel/>
            </a:ln>
          </c:spPr>
          <c:marker>
            <c:symbol val="diamond"/>
            <c:size val="6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Cal.'!$U$8:$U$19</c:f>
              <c:numCache>
                <c:formatCode>General</c:formatCode>
                <c:ptCount val="12"/>
                <c:pt idx="0">
                  <c:v>7.2292258064509998</c:v>
                </c:pt>
                <c:pt idx="1">
                  <c:v>9.8403225806451555</c:v>
                </c:pt>
                <c:pt idx="2">
                  <c:v>14.266862170087979</c:v>
                </c:pt>
                <c:pt idx="3">
                  <c:v>19.351212121212125</c:v>
                </c:pt>
                <c:pt idx="4">
                  <c:v>24.2868914956012</c:v>
                </c:pt>
                <c:pt idx="5">
                  <c:v>27.354848484848482</c:v>
                </c:pt>
                <c:pt idx="6">
                  <c:v>27.070674486803515</c:v>
                </c:pt>
                <c:pt idx="7">
                  <c:v>26.779765395894437</c:v>
                </c:pt>
                <c:pt idx="8">
                  <c:v>24.958484848484801</c:v>
                </c:pt>
                <c:pt idx="9">
                  <c:v>18.3604105571848</c:v>
                </c:pt>
                <c:pt idx="10">
                  <c:v>12.970303030303</c:v>
                </c:pt>
                <c:pt idx="11">
                  <c:v>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87A-474D-BDC7-540D3F1F79F8}"/>
            </c:ext>
          </c:extLst>
        </c:ser>
        <c:ser>
          <c:idx val="17"/>
          <c:order val="13"/>
          <c:tx>
            <c:strRef>
              <c:f>'GCM Cal.'!$V$7</c:f>
              <c:strCache>
                <c:ptCount val="1"/>
                <c:pt idx="0">
                  <c:v>NCEP Tmin LHR</c:v>
                </c:pt>
              </c:strCache>
            </c:strRef>
          </c:tx>
          <c:spPr>
            <a:ln w="38100" cap="rnd">
              <a:solidFill>
                <a:schemeClr val="accent3">
                  <a:lumMod val="50000"/>
                </a:schemeClr>
              </a:solidFill>
              <a:prstDash val="sysDot"/>
              <a:round/>
            </a:ln>
          </c:spPr>
          <c:marker>
            <c:symbol val="diamond"/>
            <c:size val="6"/>
            <c:spPr>
              <a:pattFill prst="dkUpDiag">
                <a:fgClr>
                  <a:schemeClr val="tx1"/>
                </a:fgClr>
                <a:bgClr>
                  <a:schemeClr val="accent3">
                    <a:lumMod val="50000"/>
                  </a:schemeClr>
                </a:bgClr>
              </a:pattFill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Cal.'!$V$8:$V$19</c:f>
              <c:numCache>
                <c:formatCode>General</c:formatCode>
                <c:ptCount val="12"/>
                <c:pt idx="0">
                  <c:v>6.966745307917888</c:v>
                </c:pt>
                <c:pt idx="1">
                  <c:v>10.1760132258064</c:v>
                </c:pt>
                <c:pt idx="2">
                  <c:v>14.012295894428153</c:v>
                </c:pt>
                <c:pt idx="3">
                  <c:v>19.054502878787876</c:v>
                </c:pt>
                <c:pt idx="4">
                  <c:v>24.8485414956012</c:v>
                </c:pt>
                <c:pt idx="5">
                  <c:v>26.084049545454501</c:v>
                </c:pt>
                <c:pt idx="6">
                  <c:v>26.853618475073311</c:v>
                </c:pt>
                <c:pt idx="7">
                  <c:v>28.2545</c:v>
                </c:pt>
                <c:pt idx="8">
                  <c:v>24.622295909090901</c:v>
                </c:pt>
                <c:pt idx="9">
                  <c:v>18.615067155425201</c:v>
                </c:pt>
                <c:pt idx="10">
                  <c:v>12.932740000000001</c:v>
                </c:pt>
                <c:pt idx="11">
                  <c:v>8.0682851906158373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87A-474D-BDC7-540D3F1F79F8}"/>
            </c:ext>
          </c:extLst>
        </c:ser>
        <c:ser>
          <c:idx val="18"/>
          <c:order val="14"/>
          <c:tx>
            <c:strRef>
              <c:f>'GCM Cal.'!$W$7</c:f>
              <c:strCache>
                <c:ptCount val="1"/>
                <c:pt idx="0">
                  <c:v>Obs. Tmin FSD</c:v>
                </c:pt>
              </c:strCache>
            </c:strRef>
          </c:tx>
          <c:spPr>
            <a:ln w="38100" cmpd="dbl">
              <a:solidFill>
                <a:schemeClr val="accent2">
                  <a:lumMod val="50000"/>
                </a:schemeClr>
              </a:solidFill>
            </a:ln>
          </c:spPr>
          <c:marker>
            <c:symbol val="triangle"/>
            <c:size val="6"/>
            <c:spPr>
              <a:noFill/>
              <a:ln cap="sq">
                <a:solidFill>
                  <a:schemeClr val="accent2">
                    <a:lumMod val="50000"/>
                  </a:schemeClr>
                </a:solidFill>
              </a:ln>
            </c:spPr>
          </c:marker>
          <c:dPt>
            <c:idx val="3"/>
            <c:marker>
              <c:symbol val="diamond"/>
              <c:size val="6"/>
            </c:marker>
            <c:bubble3D val="0"/>
            <c:extLst>
              <c:ext xmlns:c16="http://schemas.microsoft.com/office/drawing/2014/chart" uri="{C3380CC4-5D6E-409C-BE32-E72D297353CC}">
                <c16:uniqueId val="{0000000E-087A-474D-BDC7-540D3F1F79F8}"/>
              </c:ext>
            </c:extLst>
          </c:dPt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Cal.'!$W$8:$W$19</c:f>
              <c:numCache>
                <c:formatCode>General</c:formatCode>
                <c:ptCount val="12"/>
                <c:pt idx="0">
                  <c:v>4.9134900000000004</c:v>
                </c:pt>
                <c:pt idx="1">
                  <c:v>7.4187099999999999</c:v>
                </c:pt>
                <c:pt idx="2">
                  <c:v>12.321999999999999</c:v>
                </c:pt>
                <c:pt idx="3">
                  <c:v>17.4361</c:v>
                </c:pt>
                <c:pt idx="4">
                  <c:v>23.258099999999999</c:v>
                </c:pt>
                <c:pt idx="5">
                  <c:v>26.7364</c:v>
                </c:pt>
                <c:pt idx="6">
                  <c:v>27.200900000000001</c:v>
                </c:pt>
                <c:pt idx="7">
                  <c:v>26.821400000000001</c:v>
                </c:pt>
                <c:pt idx="8">
                  <c:v>24.018799999999999</c:v>
                </c:pt>
                <c:pt idx="9">
                  <c:v>17.046299999999999</c:v>
                </c:pt>
                <c:pt idx="10">
                  <c:v>12.735200000000001</c:v>
                </c:pt>
                <c:pt idx="11">
                  <c:v>6.1622599999999998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87A-474D-BDC7-540D3F1F79F8}"/>
            </c:ext>
          </c:extLst>
        </c:ser>
        <c:ser>
          <c:idx val="19"/>
          <c:order val="15"/>
          <c:tx>
            <c:strRef>
              <c:f>'GCM Cal.'!$X$7</c:f>
              <c:strCache>
                <c:ptCount val="1"/>
                <c:pt idx="0">
                  <c:v>NCEP Tmin FSD</c:v>
                </c:pt>
              </c:strCache>
            </c:strRef>
          </c:tx>
          <c:spPr>
            <a:ln w="38100">
              <a:solidFill>
                <a:schemeClr val="accent2">
                  <a:lumMod val="50000"/>
                </a:schemeClr>
              </a:solidFill>
              <a:prstDash val="sysDot"/>
            </a:ln>
          </c:spPr>
          <c:marker>
            <c:symbol val="triangle"/>
            <c:size val="6"/>
            <c:spPr>
              <a:pattFill prst="dkUpDiag">
                <a:fgClr>
                  <a:schemeClr val="tx1"/>
                </a:fgClr>
                <a:bgClr>
                  <a:schemeClr val="accent2">
                    <a:lumMod val="50000"/>
                  </a:schemeClr>
                </a:bgClr>
              </a:pattFill>
              <a:ln cap="sq"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Cal.'!$X$8:$X$19</c:f>
              <c:numCache>
                <c:formatCode>General</c:formatCode>
                <c:ptCount val="12"/>
                <c:pt idx="0">
                  <c:v>4.9398999999999997</c:v>
                </c:pt>
                <c:pt idx="1">
                  <c:v>7.12</c:v>
                </c:pt>
                <c:pt idx="2">
                  <c:v>12.55</c:v>
                </c:pt>
                <c:pt idx="3">
                  <c:v>17.04</c:v>
                </c:pt>
                <c:pt idx="4">
                  <c:v>23.47</c:v>
                </c:pt>
                <c:pt idx="5">
                  <c:v>27.36</c:v>
                </c:pt>
                <c:pt idx="6">
                  <c:v>27.6</c:v>
                </c:pt>
                <c:pt idx="7">
                  <c:v>26.6</c:v>
                </c:pt>
                <c:pt idx="8">
                  <c:v>24.440999999999999</c:v>
                </c:pt>
                <c:pt idx="9">
                  <c:v>18.190000000000001</c:v>
                </c:pt>
                <c:pt idx="10">
                  <c:v>11.98</c:v>
                </c:pt>
                <c:pt idx="11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87A-474D-BDC7-540D3F1F79F8}"/>
            </c:ext>
          </c:extLst>
        </c:ser>
        <c:ser>
          <c:idx val="20"/>
          <c:order val="16"/>
          <c:tx>
            <c:strRef>
              <c:f>'GCM Cal.'!$Y$7</c:f>
              <c:strCache>
                <c:ptCount val="1"/>
                <c:pt idx="0">
                  <c:v>Obs. Tmin SGD</c:v>
                </c:pt>
              </c:strCache>
            </c:strRef>
          </c:tx>
          <c:spPr>
            <a:ln w="38100" cmpd="dbl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square"/>
            <c:size val="6"/>
            <c:spPr>
              <a:noFill/>
              <a:ln cap="sq"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Cal.'!$Y$8:$Y$19</c:f>
              <c:numCache>
                <c:formatCode>General</c:formatCode>
                <c:ptCount val="12"/>
                <c:pt idx="0">
                  <c:v>5.7903200000000004</c:v>
                </c:pt>
                <c:pt idx="1">
                  <c:v>9.1936400000000003</c:v>
                </c:pt>
                <c:pt idx="2">
                  <c:v>14.889699999999999</c:v>
                </c:pt>
                <c:pt idx="3">
                  <c:v>20.299700000000001</c:v>
                </c:pt>
                <c:pt idx="4">
                  <c:v>25.216100000000001</c:v>
                </c:pt>
                <c:pt idx="5">
                  <c:v>27.556699999999999</c:v>
                </c:pt>
                <c:pt idx="6">
                  <c:v>27.472899999999999</c:v>
                </c:pt>
                <c:pt idx="7">
                  <c:v>27.048100000000002</c:v>
                </c:pt>
                <c:pt idx="8">
                  <c:v>25.12</c:v>
                </c:pt>
                <c:pt idx="9">
                  <c:v>20.198399999999999</c:v>
                </c:pt>
                <c:pt idx="10">
                  <c:v>12.8163</c:v>
                </c:pt>
                <c:pt idx="11">
                  <c:v>7.6277400000000002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87A-474D-BDC7-540D3F1F79F8}"/>
            </c:ext>
          </c:extLst>
        </c:ser>
        <c:ser>
          <c:idx val="21"/>
          <c:order val="17"/>
          <c:tx>
            <c:strRef>
              <c:f>'GCM Cal.'!$Z$7</c:f>
              <c:strCache>
                <c:ptCount val="1"/>
                <c:pt idx="0">
                  <c:v>NCEP Tmin SGD</c:v>
                </c:pt>
              </c:strCache>
            </c:strRef>
          </c:tx>
          <c:spPr>
            <a:ln w="38100" cmpd="sng">
              <a:solidFill>
                <a:schemeClr val="accent6">
                  <a:lumMod val="50000"/>
                </a:schemeClr>
              </a:solidFill>
              <a:prstDash val="sysDot"/>
            </a:ln>
          </c:spPr>
          <c:marker>
            <c:symbol val="square"/>
            <c:size val="6"/>
            <c:spPr>
              <a:pattFill prst="dkUpDiag">
                <a:fgClr>
                  <a:schemeClr val="tx1"/>
                </a:fgClr>
                <a:bgClr>
                  <a:schemeClr val="accent6">
                    <a:lumMod val="50000"/>
                  </a:schemeClr>
                </a:bgClr>
              </a:pattFill>
              <a:ln cap="rnd" cmpd="sng"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Cal.'!$Z$8:$Z$19</c:f>
              <c:numCache>
                <c:formatCode>General</c:formatCode>
                <c:ptCount val="12"/>
                <c:pt idx="0">
                  <c:v>6.3879999999999999</c:v>
                </c:pt>
                <c:pt idx="1">
                  <c:v>9.3699999999999992</c:v>
                </c:pt>
                <c:pt idx="2">
                  <c:v>14.881</c:v>
                </c:pt>
                <c:pt idx="3">
                  <c:v>20.74</c:v>
                </c:pt>
                <c:pt idx="4">
                  <c:v>25.185199999999998</c:v>
                </c:pt>
                <c:pt idx="5">
                  <c:v>27.16</c:v>
                </c:pt>
                <c:pt idx="6">
                  <c:v>27.08</c:v>
                </c:pt>
                <c:pt idx="7">
                  <c:v>27.49</c:v>
                </c:pt>
                <c:pt idx="8">
                  <c:v>25.2285</c:v>
                </c:pt>
                <c:pt idx="9">
                  <c:v>19.91</c:v>
                </c:pt>
                <c:pt idx="10">
                  <c:v>13.954000000000001</c:v>
                </c:pt>
                <c:pt idx="11">
                  <c:v>7.8318000000000003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87A-474D-BDC7-540D3F1F7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15456"/>
        <c:axId val="188517376"/>
      </c:lineChart>
      <c:catAx>
        <c:axId val="188515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19050">
            <a:noFill/>
          </a:ln>
        </c:spPr>
        <c:crossAx val="188517376"/>
        <c:crossesAt val="0"/>
        <c:auto val="0"/>
        <c:lblAlgn val="ctr"/>
        <c:lblOffset val="100"/>
        <c:noMultiLvlLbl val="0"/>
      </c:catAx>
      <c:valAx>
        <c:axId val="188517376"/>
        <c:scaling>
          <c:orientation val="minMax"/>
          <c:max val="45"/>
          <c:min val="0"/>
        </c:scaling>
        <c:delete val="0"/>
        <c:axPos val="l"/>
        <c:numFmt formatCode="0" sourceLinked="0"/>
        <c:majorTickMark val="out"/>
        <c:minorTickMark val="out"/>
        <c:tickLblPos val="nextTo"/>
        <c:spPr>
          <a:noFill/>
          <a:ln w="9525" cmpd="sng">
            <a:solidFill>
              <a:schemeClr val="tx1"/>
            </a:solidFill>
          </a:ln>
        </c:spPr>
        <c:crossAx val="188515456"/>
        <c:crosses val="autoZero"/>
        <c:crossBetween val="between"/>
        <c:majorUnit val="5"/>
        <c:minorUnit val="1"/>
      </c:valAx>
      <c:valAx>
        <c:axId val="188519168"/>
        <c:scaling>
          <c:orientation val="minMax"/>
          <c:max val="275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 b="1">
                    <a:effectLst/>
                    <a:latin typeface="Arial" pitchFamily="34" charset="0"/>
                    <a:cs typeface="Arial" pitchFamily="34" charset="0"/>
                  </a:rPr>
                  <a:t>Rainfall</a:t>
                </a:r>
                <a:r>
                  <a:rPr lang="en-US" sz="1200" b="1" baseline="0">
                    <a:effectLst/>
                    <a:latin typeface="Arial" pitchFamily="34" charset="0"/>
                    <a:cs typeface="Arial" pitchFamily="34" charset="0"/>
                  </a:rPr>
                  <a:t> (mm)</a:t>
                </a:r>
                <a:endParaRPr lang="en-US" sz="1000">
                  <a:effectLst/>
                  <a:latin typeface="Arial" pitchFamily="34" charset="0"/>
                  <a:cs typeface="Arial" pitchFamily="34" charset="0"/>
                </a:endParaRPr>
              </a:p>
            </c:rich>
          </c:tx>
          <c:layout>
            <c:manualLayout>
              <c:xMode val="edge"/>
              <c:yMode val="edge"/>
              <c:x val="0.9594907407407407"/>
              <c:y val="0.35062736949547979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88521088"/>
        <c:crosses val="max"/>
        <c:crossBetween val="between"/>
        <c:majorUnit val="25"/>
        <c:minorUnit val="25"/>
      </c:valAx>
      <c:catAx>
        <c:axId val="188521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51916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egendEntry>
        <c:idx val="7"/>
        <c:txPr>
          <a:bodyPr/>
          <a:lstStyle/>
          <a:p>
            <a:pPr>
              <a:defRPr sz="1600" b="1" strike="noStrike" baseline="0">
                <a:solidFill>
                  <a:schemeClr val="tx1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8.9029587998560797E-2"/>
          <c:y val="1.6875820209973753E-2"/>
          <c:w val="0.80498367857314967"/>
          <c:h val="0.1850928204286964"/>
        </c:manualLayout>
      </c:layout>
      <c:overlay val="1"/>
      <c:spPr>
        <a:noFill/>
        <a:ln>
          <a:noFill/>
        </a:ln>
      </c:spPr>
      <c:txPr>
        <a:bodyPr/>
        <a:lstStyle/>
        <a:p>
          <a:pPr>
            <a:defRPr sz="1600" b="1" strike="noStrike" baseline="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tx1"/>
      </a:solidFill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8.1597223514909334E-2"/>
          <c:y val="4.4949329250510345E-2"/>
          <c:w val="0.83387011519393406"/>
          <c:h val="0.77804599113488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'GCM Cal.'!$C$7</c:f>
              <c:strCache>
                <c:ptCount val="1"/>
                <c:pt idx="0">
                  <c:v>Obs. Rainfall LHR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Cal.'!$C$8:$C$19</c:f>
              <c:numCache>
                <c:formatCode>General</c:formatCode>
                <c:ptCount val="12"/>
                <c:pt idx="0">
                  <c:v>21.9818</c:v>
                </c:pt>
                <c:pt idx="1">
                  <c:v>44.045499999999997</c:v>
                </c:pt>
                <c:pt idx="2">
                  <c:v>35.818199999999997</c:v>
                </c:pt>
                <c:pt idx="3">
                  <c:v>19.454499999999999</c:v>
                </c:pt>
                <c:pt idx="4">
                  <c:v>19.636399999999998</c:v>
                </c:pt>
                <c:pt idx="5">
                  <c:v>42.7545</c:v>
                </c:pt>
                <c:pt idx="6">
                  <c:v>167.66399999999999</c:v>
                </c:pt>
                <c:pt idx="7">
                  <c:v>178.2</c:v>
                </c:pt>
                <c:pt idx="8">
                  <c:v>85.7273</c:v>
                </c:pt>
                <c:pt idx="9">
                  <c:v>19.872699999999998</c:v>
                </c:pt>
                <c:pt idx="10">
                  <c:v>3.1818200000000001</c:v>
                </c:pt>
                <c:pt idx="11">
                  <c:v>14.7455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7-4ACC-B461-69565CFF4B47}"/>
            </c:ext>
          </c:extLst>
        </c:ser>
        <c:ser>
          <c:idx val="1"/>
          <c:order val="1"/>
          <c:tx>
            <c:strRef>
              <c:f>'GCM Cal.'!$D$7</c:f>
              <c:strCache>
                <c:ptCount val="1"/>
                <c:pt idx="0">
                  <c:v>NCEP Rainfall LHR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Cal.'!$D$8:$D$19</c:f>
              <c:numCache>
                <c:formatCode>General</c:formatCode>
                <c:ptCount val="12"/>
                <c:pt idx="0">
                  <c:v>26.801500000000001</c:v>
                </c:pt>
                <c:pt idx="1">
                  <c:v>57.099699999999999</c:v>
                </c:pt>
                <c:pt idx="2">
                  <c:v>26.4481</c:v>
                </c:pt>
                <c:pt idx="3">
                  <c:v>16.2544</c:v>
                </c:pt>
                <c:pt idx="4">
                  <c:v>31.334499999999998</c:v>
                </c:pt>
                <c:pt idx="5">
                  <c:v>32.764800000000001</c:v>
                </c:pt>
                <c:pt idx="6">
                  <c:v>230.67</c:v>
                </c:pt>
                <c:pt idx="7">
                  <c:v>251.136</c:v>
                </c:pt>
                <c:pt idx="8">
                  <c:v>146.89699999999999</c:v>
                </c:pt>
                <c:pt idx="9">
                  <c:v>17.222799999999999</c:v>
                </c:pt>
                <c:pt idx="10">
                  <c:v>2.76118</c:v>
                </c:pt>
                <c:pt idx="11">
                  <c:v>17.726600000000001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7-4ACC-B461-69565CFF4B47}"/>
            </c:ext>
          </c:extLst>
        </c:ser>
        <c:ser>
          <c:idx val="2"/>
          <c:order val="2"/>
          <c:tx>
            <c:strRef>
              <c:f>'GCM Cal.'!$E$7</c:f>
              <c:strCache>
                <c:ptCount val="1"/>
                <c:pt idx="0">
                  <c:v>Obs. Rainfall FSD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Cal.'!$E$8:$E$19</c:f>
              <c:numCache>
                <c:formatCode>0.000</c:formatCode>
                <c:ptCount val="12"/>
                <c:pt idx="0">
                  <c:v>9.4181818181818198</c:v>
                </c:pt>
                <c:pt idx="1">
                  <c:v>17.172727272727272</c:v>
                </c:pt>
                <c:pt idx="2">
                  <c:v>16.472727272727269</c:v>
                </c:pt>
                <c:pt idx="3">
                  <c:v>27.86363636363636</c:v>
                </c:pt>
                <c:pt idx="4">
                  <c:v>16.554545454545455</c:v>
                </c:pt>
                <c:pt idx="5">
                  <c:v>26.872727272727264</c:v>
                </c:pt>
                <c:pt idx="6">
                  <c:v>87.454545454545467</c:v>
                </c:pt>
                <c:pt idx="7">
                  <c:v>57.06363636363637</c:v>
                </c:pt>
                <c:pt idx="8">
                  <c:v>33.190909090909095</c:v>
                </c:pt>
                <c:pt idx="9">
                  <c:v>1.4090909090909092</c:v>
                </c:pt>
                <c:pt idx="10">
                  <c:v>1.4090909090909092</c:v>
                </c:pt>
                <c:pt idx="11">
                  <c:v>6.254545454545454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17-4ACC-B461-69565CFF4B47}"/>
            </c:ext>
          </c:extLst>
        </c:ser>
        <c:ser>
          <c:idx val="3"/>
          <c:order val="3"/>
          <c:tx>
            <c:strRef>
              <c:f>'GCM Cal.'!$F$7</c:f>
              <c:strCache>
                <c:ptCount val="1"/>
                <c:pt idx="0">
                  <c:v>NCEP Rainfall FSD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accent2">
                  <a:lumMod val="50000"/>
                </a:schemeClr>
              </a:bgClr>
            </a:pattFill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Cal.'!$F$8:$F$19</c:f>
              <c:numCache>
                <c:formatCode>0.000</c:formatCode>
                <c:ptCount val="12"/>
                <c:pt idx="0">
                  <c:v>18.54</c:v>
                </c:pt>
                <c:pt idx="1">
                  <c:v>46.417700000000004</c:v>
                </c:pt>
                <c:pt idx="2">
                  <c:v>10.3649</c:v>
                </c:pt>
                <c:pt idx="3">
                  <c:v>43.221499999999999</c:v>
                </c:pt>
                <c:pt idx="4">
                  <c:v>24.241700000000002</c:v>
                </c:pt>
                <c:pt idx="5">
                  <c:v>34.729599999999998</c:v>
                </c:pt>
                <c:pt idx="6">
                  <c:v>101.992</c:v>
                </c:pt>
                <c:pt idx="7">
                  <c:v>54.606400000000001</c:v>
                </c:pt>
                <c:pt idx="8">
                  <c:v>49.419499999999999</c:v>
                </c:pt>
                <c:pt idx="9">
                  <c:v>0</c:v>
                </c:pt>
                <c:pt idx="10">
                  <c:v>1.8621799999999999</c:v>
                </c:pt>
                <c:pt idx="11">
                  <c:v>15.170500000000001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17-4ACC-B461-69565CFF4B47}"/>
            </c:ext>
          </c:extLst>
        </c:ser>
        <c:ser>
          <c:idx val="4"/>
          <c:order val="4"/>
          <c:tx>
            <c:strRef>
              <c:f>'GCM Cal.'!$G$7</c:f>
              <c:strCache>
                <c:ptCount val="1"/>
                <c:pt idx="0">
                  <c:v>Obs. Rainfall SGD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Cal.'!$G$8:$G$19</c:f>
              <c:numCache>
                <c:formatCode>0.000</c:formatCode>
                <c:ptCount val="12"/>
                <c:pt idx="0">
                  <c:v>21.355</c:v>
                </c:pt>
                <c:pt idx="1">
                  <c:v>38.494999999999997</c:v>
                </c:pt>
                <c:pt idx="2">
                  <c:v>44.05</c:v>
                </c:pt>
                <c:pt idx="3">
                  <c:v>47.784999999999997</c:v>
                </c:pt>
                <c:pt idx="4">
                  <c:v>23.055</c:v>
                </c:pt>
                <c:pt idx="5">
                  <c:v>34.924999999999997</c:v>
                </c:pt>
                <c:pt idx="6">
                  <c:v>94.094999999999999</c:v>
                </c:pt>
                <c:pt idx="7">
                  <c:v>77.040000000000006</c:v>
                </c:pt>
                <c:pt idx="8">
                  <c:v>29.925000000000001</c:v>
                </c:pt>
                <c:pt idx="9">
                  <c:v>10.52</c:v>
                </c:pt>
                <c:pt idx="10">
                  <c:v>9.7349999999999994</c:v>
                </c:pt>
                <c:pt idx="11">
                  <c:v>11.775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17-4ACC-B461-69565CFF4B47}"/>
            </c:ext>
          </c:extLst>
        </c:ser>
        <c:ser>
          <c:idx val="5"/>
          <c:order val="5"/>
          <c:tx>
            <c:strRef>
              <c:f>'GCM Cal.'!$H$7</c:f>
              <c:strCache>
                <c:ptCount val="1"/>
                <c:pt idx="0">
                  <c:v>NCEP Rainfall SGD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>
                  <a:lumMod val="50000"/>
                </a:schemeClr>
              </a:bgClr>
            </a:pattFill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Cal.'!$H$8:$H$19</c:f>
              <c:numCache>
                <c:formatCode>0.000</c:formatCode>
                <c:ptCount val="12"/>
                <c:pt idx="0">
                  <c:v>18.914999999999999</c:v>
                </c:pt>
                <c:pt idx="1">
                  <c:v>37.873399999999997</c:v>
                </c:pt>
                <c:pt idx="2">
                  <c:v>27.043800000000001</c:v>
                </c:pt>
                <c:pt idx="3">
                  <c:v>29.869599999999998</c:v>
                </c:pt>
                <c:pt idx="4">
                  <c:v>9.4254999999999995</c:v>
                </c:pt>
                <c:pt idx="5">
                  <c:v>44.288200000000003</c:v>
                </c:pt>
                <c:pt idx="6">
                  <c:v>147.155</c:v>
                </c:pt>
                <c:pt idx="7">
                  <c:v>122.96899999999999</c:v>
                </c:pt>
                <c:pt idx="8">
                  <c:v>37.607599999999998</c:v>
                </c:pt>
                <c:pt idx="9">
                  <c:v>12.508900000000001</c:v>
                </c:pt>
                <c:pt idx="10">
                  <c:v>13.638999999999999</c:v>
                </c:pt>
                <c:pt idx="11">
                  <c:v>15.354900000000001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17-4ACC-B461-69565CFF4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188548608"/>
        <c:axId val="188546432"/>
      </c:barChart>
      <c:valAx>
        <c:axId val="188546432"/>
        <c:scaling>
          <c:orientation val="minMax"/>
          <c:max val="30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Rainfall (mm)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crossAx val="188548608"/>
        <c:crosses val="autoZero"/>
        <c:crossBetween val="between"/>
        <c:majorUnit val="50"/>
        <c:minorUnit val="25"/>
      </c:valAx>
      <c:catAx>
        <c:axId val="188548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crossAx val="188546432"/>
        <c:crosses val="autoZero"/>
        <c:auto val="0"/>
        <c:lblAlgn val="ctr"/>
        <c:lblOffset val="100"/>
        <c:noMultiLvlLbl val="0"/>
      </c:catAx>
      <c:spPr>
        <a:noFill/>
        <a:ln w="2540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35685947069116364"/>
          <c:y val="6.25E-2"/>
          <c:w val="0.39258414828446342"/>
          <c:h val="9.0664370078740147E-2"/>
        </c:manualLayout>
      </c:layout>
      <c:overlay val="0"/>
      <c:spPr>
        <a:noFill/>
        <a:ln>
          <a:solidFill>
            <a:schemeClr val="bg1"/>
          </a:solidFill>
        </a:ln>
      </c:spPr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7.949584426946632E-2"/>
          <c:y val="4.9578958880139981E-2"/>
          <c:w val="0.83387011519393406"/>
          <c:h val="0.77804599113488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'GCM Cal.'!$L$7</c:f>
              <c:strCache>
                <c:ptCount val="1"/>
                <c:pt idx="0">
                  <c:v>Obs. Tmax LHR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 w="38100"/>
          </c:spPr>
          <c:invertIfNegative val="0"/>
          <c:cat>
            <c:strRef>
              <c:f>'GCM Cal.'!$K$8:$K$19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Cal.'!$L$8:$L$19</c:f>
              <c:numCache>
                <c:formatCode>0.000</c:formatCode>
                <c:ptCount val="12"/>
                <c:pt idx="0">
                  <c:v>19.239999999999998</c:v>
                </c:pt>
                <c:pt idx="1">
                  <c:v>22.55</c:v>
                </c:pt>
                <c:pt idx="2">
                  <c:v>27.46</c:v>
                </c:pt>
                <c:pt idx="3">
                  <c:v>34.26</c:v>
                </c:pt>
                <c:pt idx="4">
                  <c:v>38.909999999999997</c:v>
                </c:pt>
                <c:pt idx="5">
                  <c:v>39.25</c:v>
                </c:pt>
                <c:pt idx="6">
                  <c:v>35.729999999999997</c:v>
                </c:pt>
                <c:pt idx="7">
                  <c:v>34.909999999999997</c:v>
                </c:pt>
                <c:pt idx="8">
                  <c:v>34.76</c:v>
                </c:pt>
                <c:pt idx="9">
                  <c:v>32.450000000000003</c:v>
                </c:pt>
                <c:pt idx="10">
                  <c:v>27.65</c:v>
                </c:pt>
                <c:pt idx="11">
                  <c:v>21.69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6-47BD-88DE-10439C8926FF}"/>
            </c:ext>
          </c:extLst>
        </c:ser>
        <c:ser>
          <c:idx val="1"/>
          <c:order val="1"/>
          <c:tx>
            <c:strRef>
              <c:f>'GCM Cal.'!$M$7</c:f>
              <c:strCache>
                <c:ptCount val="1"/>
                <c:pt idx="0">
                  <c:v>NCEP Tmax LHR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  <a:ln w="38100" cap="rnd" cmpd="dbl">
              <a:noFill/>
              <a:prstDash val="sysDash"/>
            </a:ln>
          </c:spPr>
          <c:invertIfNegative val="0"/>
          <c:cat>
            <c:strRef>
              <c:f>'GCM Cal.'!$K$8:$K$19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Cal.'!$M$8:$M$19</c:f>
              <c:numCache>
                <c:formatCode>0.000</c:formatCode>
                <c:ptCount val="12"/>
                <c:pt idx="0">
                  <c:v>19.02</c:v>
                </c:pt>
                <c:pt idx="1">
                  <c:v>22.97</c:v>
                </c:pt>
                <c:pt idx="2">
                  <c:v>27.72</c:v>
                </c:pt>
                <c:pt idx="3">
                  <c:v>35.119999999999997</c:v>
                </c:pt>
                <c:pt idx="4">
                  <c:v>39.979999999999997</c:v>
                </c:pt>
                <c:pt idx="5">
                  <c:v>38.119999999999997</c:v>
                </c:pt>
                <c:pt idx="6">
                  <c:v>35.04</c:v>
                </c:pt>
                <c:pt idx="7">
                  <c:v>35.25</c:v>
                </c:pt>
                <c:pt idx="8">
                  <c:v>34.67</c:v>
                </c:pt>
                <c:pt idx="9">
                  <c:v>32.200000000000003</c:v>
                </c:pt>
                <c:pt idx="10">
                  <c:v>28.49</c:v>
                </c:pt>
                <c:pt idx="11">
                  <c:v>22.02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6-47BD-88DE-10439C8926FF}"/>
            </c:ext>
          </c:extLst>
        </c:ser>
        <c:ser>
          <c:idx val="2"/>
          <c:order val="2"/>
          <c:tx>
            <c:strRef>
              <c:f>'GCM Cal.'!$N$7</c:f>
              <c:strCache>
                <c:ptCount val="1"/>
                <c:pt idx="0">
                  <c:v>Obs. Tmax FSD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cat>
            <c:strRef>
              <c:f>'GCM Cal.'!$K$8:$K$19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Cal.'!$N$8:$N$19</c:f>
              <c:numCache>
                <c:formatCode>0.000</c:formatCode>
                <c:ptCount val="12"/>
                <c:pt idx="0">
                  <c:v>19.639600000000002</c:v>
                </c:pt>
                <c:pt idx="1">
                  <c:v>22.2087</c:v>
                </c:pt>
                <c:pt idx="2">
                  <c:v>26.349599999999999</c:v>
                </c:pt>
                <c:pt idx="3">
                  <c:v>32.839399999999998</c:v>
                </c:pt>
                <c:pt idx="4">
                  <c:v>38.926699999999997</c:v>
                </c:pt>
                <c:pt idx="5">
                  <c:v>40.9345</c:v>
                </c:pt>
                <c:pt idx="6">
                  <c:v>37.195300000000003</c:v>
                </c:pt>
                <c:pt idx="7">
                  <c:v>36.394100000000002</c:v>
                </c:pt>
                <c:pt idx="8">
                  <c:v>35.675199999999997</c:v>
                </c:pt>
                <c:pt idx="9">
                  <c:v>32.793500000000002</c:v>
                </c:pt>
                <c:pt idx="10">
                  <c:v>27.597000000000001</c:v>
                </c:pt>
                <c:pt idx="11">
                  <c:v>21.654800000000002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6-47BD-88DE-10439C8926FF}"/>
            </c:ext>
          </c:extLst>
        </c:ser>
        <c:ser>
          <c:idx val="3"/>
          <c:order val="3"/>
          <c:tx>
            <c:strRef>
              <c:f>'GCM Cal.'!$O$7</c:f>
              <c:strCache>
                <c:ptCount val="1"/>
                <c:pt idx="0">
                  <c:v>NCEP Tmax FSD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accent2">
                  <a:lumMod val="50000"/>
                </a:schemeClr>
              </a:bgClr>
            </a:pattFill>
          </c:spPr>
          <c:invertIfNegative val="0"/>
          <c:cat>
            <c:strRef>
              <c:f>'GCM Cal.'!$K$8:$K$19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Cal.'!$O$8:$O$19</c:f>
              <c:numCache>
                <c:formatCode>0.000</c:formatCode>
                <c:ptCount val="12"/>
                <c:pt idx="0">
                  <c:v>19.350000000000001</c:v>
                </c:pt>
                <c:pt idx="1">
                  <c:v>22.55</c:v>
                </c:pt>
                <c:pt idx="2">
                  <c:v>26.58</c:v>
                </c:pt>
                <c:pt idx="3">
                  <c:v>31.87</c:v>
                </c:pt>
                <c:pt idx="4">
                  <c:v>39.508000000000003</c:v>
                </c:pt>
                <c:pt idx="5">
                  <c:v>41.938000000000002</c:v>
                </c:pt>
                <c:pt idx="6">
                  <c:v>38.197699999999998</c:v>
                </c:pt>
                <c:pt idx="7">
                  <c:v>37.17</c:v>
                </c:pt>
                <c:pt idx="8">
                  <c:v>35.770000000000003</c:v>
                </c:pt>
                <c:pt idx="9">
                  <c:v>32.520000000000003</c:v>
                </c:pt>
                <c:pt idx="10">
                  <c:v>27.021999999999998</c:v>
                </c:pt>
                <c:pt idx="11">
                  <c:v>21.2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6-47BD-88DE-10439C8926FF}"/>
            </c:ext>
          </c:extLst>
        </c:ser>
        <c:ser>
          <c:idx val="4"/>
          <c:order val="4"/>
          <c:tx>
            <c:strRef>
              <c:f>'GCM Cal.'!$P$7</c:f>
              <c:strCache>
                <c:ptCount val="1"/>
                <c:pt idx="0">
                  <c:v>Obs. Tmax SGD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</c:spPr>
          <c:invertIfNegative val="0"/>
          <c:cat>
            <c:strRef>
              <c:f>'GCM Cal.'!$K$8:$K$19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Cal.'!$P$8:$P$19</c:f>
              <c:numCache>
                <c:formatCode>0.000</c:formatCode>
                <c:ptCount val="12"/>
                <c:pt idx="0">
                  <c:v>18.8</c:v>
                </c:pt>
                <c:pt idx="1">
                  <c:v>22.123000000000001</c:v>
                </c:pt>
                <c:pt idx="2">
                  <c:v>28.282900000000001</c:v>
                </c:pt>
                <c:pt idx="3">
                  <c:v>33.409999999999997</c:v>
                </c:pt>
                <c:pt idx="4">
                  <c:v>39.974200000000003</c:v>
                </c:pt>
                <c:pt idx="5">
                  <c:v>39.369999999999997</c:v>
                </c:pt>
                <c:pt idx="6">
                  <c:v>37.048999999999999</c:v>
                </c:pt>
                <c:pt idx="7">
                  <c:v>35.877000000000002</c:v>
                </c:pt>
                <c:pt idx="8">
                  <c:v>35.468299999999999</c:v>
                </c:pt>
                <c:pt idx="9">
                  <c:v>34.029000000000003</c:v>
                </c:pt>
                <c:pt idx="10">
                  <c:v>27.34</c:v>
                </c:pt>
                <c:pt idx="11">
                  <c:v>21.673999999999999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D6-47BD-88DE-10439C8926FF}"/>
            </c:ext>
          </c:extLst>
        </c:ser>
        <c:ser>
          <c:idx val="5"/>
          <c:order val="5"/>
          <c:tx>
            <c:strRef>
              <c:f>'GCM Cal.'!$Q$7</c:f>
              <c:strCache>
                <c:ptCount val="1"/>
                <c:pt idx="0">
                  <c:v>NCEP Tmax SGD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>
                  <a:lumMod val="50000"/>
                </a:schemeClr>
              </a:bgClr>
            </a:pattFill>
            <a:ln w="38100" cap="rnd" cmpd="sng">
              <a:noFill/>
              <a:prstDash val="solid"/>
            </a:ln>
          </c:spPr>
          <c:invertIfNegative val="0"/>
          <c:cat>
            <c:strRef>
              <c:f>'GCM Cal.'!$K$8:$K$19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Cal.'!$Q$8:$Q$19</c:f>
              <c:numCache>
                <c:formatCode>0.000</c:formatCode>
                <c:ptCount val="12"/>
                <c:pt idx="0">
                  <c:v>18.860600000000002</c:v>
                </c:pt>
                <c:pt idx="1">
                  <c:v>22.2135</c:v>
                </c:pt>
                <c:pt idx="2">
                  <c:v>28.3659</c:v>
                </c:pt>
                <c:pt idx="3">
                  <c:v>34.478499999999997</c:v>
                </c:pt>
                <c:pt idx="4">
                  <c:v>40.028100000000002</c:v>
                </c:pt>
                <c:pt idx="5">
                  <c:v>40.706000000000003</c:v>
                </c:pt>
                <c:pt idx="6">
                  <c:v>36.97</c:v>
                </c:pt>
                <c:pt idx="7">
                  <c:v>36.106900000000003</c:v>
                </c:pt>
                <c:pt idx="8">
                  <c:v>35.515300000000003</c:v>
                </c:pt>
                <c:pt idx="9">
                  <c:v>33.491</c:v>
                </c:pt>
                <c:pt idx="10">
                  <c:v>27.478400000000001</c:v>
                </c:pt>
                <c:pt idx="11">
                  <c:v>22.1128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D6-47BD-88DE-10439C892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188574336"/>
        <c:axId val="188572416"/>
      </c:barChart>
      <c:valAx>
        <c:axId val="188572416"/>
        <c:scaling>
          <c:orientation val="minMax"/>
          <c:max val="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 b="1">
                    <a:effectLst/>
                    <a:latin typeface="Arial" pitchFamily="34" charset="0"/>
                    <a:cs typeface="Arial" pitchFamily="34" charset="0"/>
                  </a:rPr>
                  <a:t>Tmax</a:t>
                </a:r>
                <a:r>
                  <a:rPr lang="en-US" sz="1200" b="1" baseline="0">
                    <a:effectLst/>
                    <a:latin typeface="Arial" pitchFamily="34" charset="0"/>
                    <a:cs typeface="Arial" pitchFamily="34" charset="0"/>
                  </a:rPr>
                  <a:t> (°C)</a:t>
                </a:r>
                <a:endParaRPr lang="en-US" sz="1000">
                  <a:effectLst/>
                  <a:latin typeface="Arial" pitchFamily="34" charset="0"/>
                  <a:cs typeface="Arial" pitchFamily="34" charset="0"/>
                </a:endParaRPr>
              </a:p>
            </c:rich>
          </c:tx>
          <c:overlay val="0"/>
        </c:title>
        <c:numFmt formatCode="0" sourceLinked="0"/>
        <c:majorTickMark val="out"/>
        <c:minorTickMark val="out"/>
        <c:tickLblPos val="nextTo"/>
        <c:crossAx val="188574336"/>
        <c:crosses val="autoZero"/>
        <c:crossBetween val="between"/>
        <c:majorUnit val="5"/>
        <c:minorUnit val="5"/>
      </c:valAx>
      <c:catAx>
        <c:axId val="188574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crossAx val="188572416"/>
        <c:crosses val="autoZero"/>
        <c:auto val="0"/>
        <c:lblAlgn val="ctr"/>
        <c:lblOffset val="100"/>
        <c:noMultiLvlLbl val="0"/>
      </c:catAx>
      <c:spPr>
        <a:noFill/>
        <a:ln w="2540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35630419871575847"/>
          <c:y val="6.25E-2"/>
          <c:w val="0.34963342082239718"/>
          <c:h val="9.0664370078740161E-2"/>
        </c:manualLayout>
      </c:layout>
      <c:overlay val="0"/>
      <c:spPr>
        <a:noFill/>
        <a:ln>
          <a:solidFill>
            <a:schemeClr val="bg1"/>
          </a:solidFill>
        </a:ln>
      </c:spPr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7.949584426946632E-2"/>
          <c:y val="4.9578958880139981E-2"/>
          <c:w val="0.83387011519393406"/>
          <c:h val="0.77804599113488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'GCM Cal.'!$U$7</c:f>
              <c:strCache>
                <c:ptCount val="1"/>
                <c:pt idx="0">
                  <c:v>Obs. Tmin LHR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 w="38100"/>
          </c:spPr>
          <c:invertIfNegative val="0"/>
          <c:cat>
            <c:strRef>
              <c:f>'GCM Cal.'!$T$8:$T$19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Cal.'!$U$8:$U$19</c:f>
              <c:numCache>
                <c:formatCode>General</c:formatCode>
                <c:ptCount val="12"/>
                <c:pt idx="0">
                  <c:v>7.2292258064509998</c:v>
                </c:pt>
                <c:pt idx="1">
                  <c:v>9.8403225806451555</c:v>
                </c:pt>
                <c:pt idx="2">
                  <c:v>14.266862170087979</c:v>
                </c:pt>
                <c:pt idx="3">
                  <c:v>19.351212121212125</c:v>
                </c:pt>
                <c:pt idx="4">
                  <c:v>24.2868914956012</c:v>
                </c:pt>
                <c:pt idx="5">
                  <c:v>27.354848484848482</c:v>
                </c:pt>
                <c:pt idx="6">
                  <c:v>27.070674486803515</c:v>
                </c:pt>
                <c:pt idx="7">
                  <c:v>26.779765395894437</c:v>
                </c:pt>
                <c:pt idx="8">
                  <c:v>24.958484848484801</c:v>
                </c:pt>
                <c:pt idx="9">
                  <c:v>18.3604105571848</c:v>
                </c:pt>
                <c:pt idx="10">
                  <c:v>12.970303030303</c:v>
                </c:pt>
                <c:pt idx="11">
                  <c:v>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5-4C5F-8B0B-68236765E6F0}"/>
            </c:ext>
          </c:extLst>
        </c:ser>
        <c:ser>
          <c:idx val="1"/>
          <c:order val="1"/>
          <c:tx>
            <c:strRef>
              <c:f>'GCM Cal.'!$V$7</c:f>
              <c:strCache>
                <c:ptCount val="1"/>
                <c:pt idx="0">
                  <c:v>NCEP Tmin LHR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  <a:ln w="38100" cap="rnd" cmpd="dbl">
              <a:noFill/>
              <a:prstDash val="sysDash"/>
            </a:ln>
          </c:spPr>
          <c:invertIfNegative val="0"/>
          <c:cat>
            <c:strRef>
              <c:f>'GCM Cal.'!$T$8:$T$19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Cal.'!$V$8:$V$19</c:f>
              <c:numCache>
                <c:formatCode>General</c:formatCode>
                <c:ptCount val="12"/>
                <c:pt idx="0">
                  <c:v>6.966745307917888</c:v>
                </c:pt>
                <c:pt idx="1">
                  <c:v>10.1760132258064</c:v>
                </c:pt>
                <c:pt idx="2">
                  <c:v>14.012295894428153</c:v>
                </c:pt>
                <c:pt idx="3">
                  <c:v>19.054502878787876</c:v>
                </c:pt>
                <c:pt idx="4">
                  <c:v>24.8485414956012</c:v>
                </c:pt>
                <c:pt idx="5">
                  <c:v>26.084049545454501</c:v>
                </c:pt>
                <c:pt idx="6">
                  <c:v>26.853618475073311</c:v>
                </c:pt>
                <c:pt idx="7">
                  <c:v>28.2545</c:v>
                </c:pt>
                <c:pt idx="8">
                  <c:v>24.622295909090901</c:v>
                </c:pt>
                <c:pt idx="9">
                  <c:v>18.615067155425201</c:v>
                </c:pt>
                <c:pt idx="10">
                  <c:v>12.932740000000001</c:v>
                </c:pt>
                <c:pt idx="11">
                  <c:v>8.0682851906158373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5-4C5F-8B0B-68236765E6F0}"/>
            </c:ext>
          </c:extLst>
        </c:ser>
        <c:ser>
          <c:idx val="2"/>
          <c:order val="2"/>
          <c:tx>
            <c:strRef>
              <c:f>'GCM Cal.'!$W$7</c:f>
              <c:strCache>
                <c:ptCount val="1"/>
                <c:pt idx="0">
                  <c:v>Obs. Tmin FSD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cat>
            <c:strRef>
              <c:f>'GCM Cal.'!$T$8:$T$19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Cal.'!$W$8:$W$19</c:f>
              <c:numCache>
                <c:formatCode>General</c:formatCode>
                <c:ptCount val="12"/>
                <c:pt idx="0">
                  <c:v>4.9134900000000004</c:v>
                </c:pt>
                <c:pt idx="1">
                  <c:v>7.4187099999999999</c:v>
                </c:pt>
                <c:pt idx="2">
                  <c:v>12.321999999999999</c:v>
                </c:pt>
                <c:pt idx="3">
                  <c:v>17.4361</c:v>
                </c:pt>
                <c:pt idx="4">
                  <c:v>23.258099999999999</c:v>
                </c:pt>
                <c:pt idx="5">
                  <c:v>26.7364</c:v>
                </c:pt>
                <c:pt idx="6">
                  <c:v>27.200900000000001</c:v>
                </c:pt>
                <c:pt idx="7">
                  <c:v>26.821400000000001</c:v>
                </c:pt>
                <c:pt idx="8">
                  <c:v>24.018799999999999</c:v>
                </c:pt>
                <c:pt idx="9">
                  <c:v>17.046299999999999</c:v>
                </c:pt>
                <c:pt idx="10">
                  <c:v>12.735200000000001</c:v>
                </c:pt>
                <c:pt idx="11">
                  <c:v>6.1622599999999998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5-4C5F-8B0B-68236765E6F0}"/>
            </c:ext>
          </c:extLst>
        </c:ser>
        <c:ser>
          <c:idx val="3"/>
          <c:order val="3"/>
          <c:tx>
            <c:strRef>
              <c:f>'GCM Cal.'!$X$7</c:f>
              <c:strCache>
                <c:ptCount val="1"/>
                <c:pt idx="0">
                  <c:v>NCEP Tmin FSD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accent2">
                  <a:lumMod val="50000"/>
                </a:schemeClr>
              </a:bgClr>
            </a:pattFill>
          </c:spPr>
          <c:invertIfNegative val="0"/>
          <c:cat>
            <c:strRef>
              <c:f>'GCM Cal.'!$T$8:$T$19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Cal.'!$X$8:$X$19</c:f>
              <c:numCache>
                <c:formatCode>General</c:formatCode>
                <c:ptCount val="12"/>
                <c:pt idx="0">
                  <c:v>4.9398999999999997</c:v>
                </c:pt>
                <c:pt idx="1">
                  <c:v>7.12</c:v>
                </c:pt>
                <c:pt idx="2">
                  <c:v>12.55</c:v>
                </c:pt>
                <c:pt idx="3">
                  <c:v>17.04</c:v>
                </c:pt>
                <c:pt idx="4">
                  <c:v>23.47</c:v>
                </c:pt>
                <c:pt idx="5">
                  <c:v>27.36</c:v>
                </c:pt>
                <c:pt idx="6">
                  <c:v>27.6</c:v>
                </c:pt>
                <c:pt idx="7">
                  <c:v>26.6</c:v>
                </c:pt>
                <c:pt idx="8">
                  <c:v>24.440999999999999</c:v>
                </c:pt>
                <c:pt idx="9">
                  <c:v>18.190000000000001</c:v>
                </c:pt>
                <c:pt idx="10">
                  <c:v>11.98</c:v>
                </c:pt>
                <c:pt idx="11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05-4C5F-8B0B-68236765E6F0}"/>
            </c:ext>
          </c:extLst>
        </c:ser>
        <c:ser>
          <c:idx val="4"/>
          <c:order val="4"/>
          <c:tx>
            <c:strRef>
              <c:f>'GCM Cal.'!$Y$7</c:f>
              <c:strCache>
                <c:ptCount val="1"/>
                <c:pt idx="0">
                  <c:v>Obs. Tmin SGD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</c:spPr>
          <c:invertIfNegative val="0"/>
          <c:cat>
            <c:strRef>
              <c:f>'GCM Cal.'!$T$8:$T$19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Cal.'!$Y$8:$Y$19</c:f>
              <c:numCache>
                <c:formatCode>General</c:formatCode>
                <c:ptCount val="12"/>
                <c:pt idx="0">
                  <c:v>5.7903200000000004</c:v>
                </c:pt>
                <c:pt idx="1">
                  <c:v>9.1936400000000003</c:v>
                </c:pt>
                <c:pt idx="2">
                  <c:v>14.889699999999999</c:v>
                </c:pt>
                <c:pt idx="3">
                  <c:v>20.299700000000001</c:v>
                </c:pt>
                <c:pt idx="4">
                  <c:v>25.216100000000001</c:v>
                </c:pt>
                <c:pt idx="5">
                  <c:v>27.556699999999999</c:v>
                </c:pt>
                <c:pt idx="6">
                  <c:v>27.472899999999999</c:v>
                </c:pt>
                <c:pt idx="7">
                  <c:v>27.048100000000002</c:v>
                </c:pt>
                <c:pt idx="8">
                  <c:v>25.12</c:v>
                </c:pt>
                <c:pt idx="9">
                  <c:v>20.198399999999999</c:v>
                </c:pt>
                <c:pt idx="10">
                  <c:v>12.8163</c:v>
                </c:pt>
                <c:pt idx="11">
                  <c:v>7.6277400000000002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05-4C5F-8B0B-68236765E6F0}"/>
            </c:ext>
          </c:extLst>
        </c:ser>
        <c:ser>
          <c:idx val="5"/>
          <c:order val="5"/>
          <c:tx>
            <c:strRef>
              <c:f>'GCM Cal.'!$Z$7</c:f>
              <c:strCache>
                <c:ptCount val="1"/>
                <c:pt idx="0">
                  <c:v>NCEP Tmin SGD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>
                  <a:lumMod val="50000"/>
                </a:schemeClr>
              </a:bgClr>
            </a:pattFill>
            <a:ln w="38100" cap="rnd" cmpd="sng">
              <a:noFill/>
              <a:prstDash val="solid"/>
            </a:ln>
          </c:spPr>
          <c:invertIfNegative val="0"/>
          <c:cat>
            <c:strRef>
              <c:f>'GCM Cal.'!$T$8:$T$19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Cal.'!$Z$8:$Z$19</c:f>
              <c:numCache>
                <c:formatCode>General</c:formatCode>
                <c:ptCount val="12"/>
                <c:pt idx="0">
                  <c:v>6.3879999999999999</c:v>
                </c:pt>
                <c:pt idx="1">
                  <c:v>9.3699999999999992</c:v>
                </c:pt>
                <c:pt idx="2">
                  <c:v>14.881</c:v>
                </c:pt>
                <c:pt idx="3">
                  <c:v>20.74</c:v>
                </c:pt>
                <c:pt idx="4">
                  <c:v>25.185199999999998</c:v>
                </c:pt>
                <c:pt idx="5">
                  <c:v>27.16</c:v>
                </c:pt>
                <c:pt idx="6">
                  <c:v>27.08</c:v>
                </c:pt>
                <c:pt idx="7">
                  <c:v>27.49</c:v>
                </c:pt>
                <c:pt idx="8">
                  <c:v>25.2285</c:v>
                </c:pt>
                <c:pt idx="9">
                  <c:v>19.91</c:v>
                </c:pt>
                <c:pt idx="10">
                  <c:v>13.954000000000001</c:v>
                </c:pt>
                <c:pt idx="11">
                  <c:v>7.8318000000000003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05-4C5F-8B0B-68236765E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188686720"/>
        <c:axId val="188680448"/>
      </c:barChart>
      <c:valAx>
        <c:axId val="188680448"/>
        <c:scaling>
          <c:orientation val="minMax"/>
          <c:max val="3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 b="1">
                    <a:effectLst/>
                    <a:latin typeface="Arial" pitchFamily="34" charset="0"/>
                    <a:cs typeface="Arial" pitchFamily="34" charset="0"/>
                  </a:rPr>
                  <a:t>Tmin</a:t>
                </a:r>
                <a:r>
                  <a:rPr lang="en-US" sz="1200" b="1" baseline="0">
                    <a:effectLst/>
                    <a:latin typeface="Arial" pitchFamily="34" charset="0"/>
                    <a:cs typeface="Arial" pitchFamily="34" charset="0"/>
                  </a:rPr>
                  <a:t> (°C)</a:t>
                </a:r>
                <a:endParaRPr lang="en-US" sz="1000">
                  <a:effectLst/>
                  <a:latin typeface="Arial" pitchFamily="34" charset="0"/>
                  <a:cs typeface="Arial" pitchFamily="34" charset="0"/>
                </a:endParaRPr>
              </a:p>
            </c:rich>
          </c:tx>
          <c:layout>
            <c:manualLayout>
              <c:xMode val="edge"/>
              <c:yMode val="edge"/>
              <c:x val="2.2803933362496354E-2"/>
              <c:y val="0.36284375911344413"/>
            </c:manualLayout>
          </c:layout>
          <c:overlay val="0"/>
        </c:title>
        <c:numFmt formatCode="0" sourceLinked="0"/>
        <c:majorTickMark val="out"/>
        <c:minorTickMark val="out"/>
        <c:tickLblPos val="nextTo"/>
        <c:crossAx val="188686720"/>
        <c:crosses val="autoZero"/>
        <c:crossBetween val="between"/>
        <c:majorUnit val="5"/>
        <c:minorUnit val="5"/>
      </c:valAx>
      <c:catAx>
        <c:axId val="1886867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crossAx val="188680448"/>
        <c:crosses val="autoZero"/>
        <c:auto val="0"/>
        <c:lblAlgn val="ctr"/>
        <c:lblOffset val="100"/>
        <c:noMultiLvlLbl val="0"/>
      </c:catAx>
      <c:spPr>
        <a:noFill/>
        <a:ln w="2540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37860072178477688"/>
          <c:y val="6.0185185185185182E-2"/>
          <c:w val="0.28236767279090114"/>
          <c:h val="0.10841207349081365"/>
        </c:manualLayout>
      </c:layout>
      <c:overlay val="0"/>
      <c:spPr>
        <a:noFill/>
        <a:ln>
          <a:solidFill>
            <a:schemeClr val="bg1"/>
          </a:solidFill>
        </a:ln>
      </c:spPr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7.8449652737160078E-2"/>
          <c:y val="0.12075937773403325"/>
          <c:w val="0.83387011519393406"/>
          <c:h val="0.706865430883639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'GCM Cal.'!$AE$7</c:f>
              <c:strCache>
                <c:ptCount val="1"/>
                <c:pt idx="0">
                  <c:v>Obs.  Rainfall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invertIfNegative val="0"/>
          <c:cat>
            <c:strRef>
              <c:f>'GCM Cal.'!$AD$8:$AD$19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Cal.'!$AE$8:$AE$19</c:f>
              <c:numCache>
                <c:formatCode>General</c:formatCode>
                <c:ptCount val="12"/>
                <c:pt idx="0">
                  <c:v>52.754981818181818</c:v>
                </c:pt>
                <c:pt idx="1">
                  <c:v>99.713227272727295</c:v>
                </c:pt>
                <c:pt idx="2">
                  <c:v>96.340927272727271</c:v>
                </c:pt>
                <c:pt idx="3">
                  <c:v>95.103136363636352</c:v>
                </c:pt>
                <c:pt idx="4">
                  <c:v>59.245945454545456</c:v>
                </c:pt>
                <c:pt idx="5">
                  <c:v>104.55222727272727</c:v>
                </c:pt>
                <c:pt idx="6">
                  <c:v>349.21354545454545</c:v>
                </c:pt>
                <c:pt idx="7">
                  <c:v>312.30363636363637</c:v>
                </c:pt>
                <c:pt idx="8">
                  <c:v>148.84320909090911</c:v>
                </c:pt>
                <c:pt idx="9">
                  <c:v>31.801790909090908</c:v>
                </c:pt>
                <c:pt idx="10">
                  <c:v>14.325910909090908</c:v>
                </c:pt>
                <c:pt idx="11">
                  <c:v>32.775045454545456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C-4245-AA5C-792379CCE82F}"/>
            </c:ext>
          </c:extLst>
        </c:ser>
        <c:ser>
          <c:idx val="1"/>
          <c:order val="1"/>
          <c:tx>
            <c:strRef>
              <c:f>'GCM Cal.'!$AF$7</c:f>
              <c:strCache>
                <c:ptCount val="1"/>
                <c:pt idx="0">
                  <c:v>NCEP Rainfall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accent6">
                  <a:lumMod val="50000"/>
                </a:schemeClr>
              </a:bgClr>
            </a:pattFill>
            <a:ln w="38100" cap="rnd" cmpd="dbl">
              <a:noFill/>
              <a:prstDash val="sysDash"/>
            </a:ln>
          </c:spPr>
          <c:invertIfNegative val="0"/>
          <c:cat>
            <c:strRef>
              <c:f>'GCM Cal.'!$AD$8:$AD$19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Cal.'!$AF$8:$AF$19</c:f>
              <c:numCache>
                <c:formatCode>General</c:formatCode>
                <c:ptCount val="12"/>
                <c:pt idx="0">
                  <c:v>64.256499999999988</c:v>
                </c:pt>
                <c:pt idx="1">
                  <c:v>141.39080000000001</c:v>
                </c:pt>
                <c:pt idx="2">
                  <c:v>63.856800000000007</c:v>
                </c:pt>
                <c:pt idx="3">
                  <c:v>89.345499999999987</c:v>
                </c:pt>
                <c:pt idx="4">
                  <c:v>65.0017</c:v>
                </c:pt>
                <c:pt idx="5">
                  <c:v>111.7826</c:v>
                </c:pt>
                <c:pt idx="6">
                  <c:v>479.81700000000001</c:v>
                </c:pt>
                <c:pt idx="7">
                  <c:v>428.71139999999997</c:v>
                </c:pt>
                <c:pt idx="8">
                  <c:v>233.92409999999998</c:v>
                </c:pt>
                <c:pt idx="9">
                  <c:v>29.7317</c:v>
                </c:pt>
                <c:pt idx="10">
                  <c:v>18.262360000000001</c:v>
                </c:pt>
                <c:pt idx="11">
                  <c:v>48.252000000000002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C-4245-AA5C-792379CCE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705792"/>
        <c:axId val="188703488"/>
      </c:barChart>
      <c:lineChart>
        <c:grouping val="standard"/>
        <c:varyColors val="0"/>
        <c:ser>
          <c:idx val="2"/>
          <c:order val="2"/>
          <c:tx>
            <c:strRef>
              <c:f>'GCM Cal.'!$AG$7</c:f>
              <c:strCache>
                <c:ptCount val="1"/>
                <c:pt idx="0">
                  <c:v>Obs. Tmax</c:v>
                </c:pt>
              </c:strCache>
            </c:strRef>
          </c:tx>
          <c:spPr>
            <a:ln w="38100" cmpd="sng">
              <a:solidFill>
                <a:srgbClr val="FF0000"/>
              </a:solidFill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Cal.'!$AD$8:$AD$19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Cal.'!$AG$8:$AG$19</c:f>
              <c:numCache>
                <c:formatCode>0.000</c:formatCode>
                <c:ptCount val="12"/>
                <c:pt idx="0">
                  <c:v>19.226533333333332</c:v>
                </c:pt>
                <c:pt idx="1">
                  <c:v>22.293900000000004</c:v>
                </c:pt>
                <c:pt idx="2">
                  <c:v>27.364166666666666</c:v>
                </c:pt>
                <c:pt idx="3">
                  <c:v>33.503133333333331</c:v>
                </c:pt>
                <c:pt idx="4">
                  <c:v>39.270299999999999</c:v>
                </c:pt>
                <c:pt idx="5">
                  <c:v>39.851499999999994</c:v>
                </c:pt>
                <c:pt idx="6">
                  <c:v>36.658099999999997</c:v>
                </c:pt>
                <c:pt idx="7">
                  <c:v>35.727033333333338</c:v>
                </c:pt>
                <c:pt idx="8">
                  <c:v>35.301166666666667</c:v>
                </c:pt>
                <c:pt idx="9">
                  <c:v>33.090833333333336</c:v>
                </c:pt>
                <c:pt idx="10">
                  <c:v>27.529</c:v>
                </c:pt>
                <c:pt idx="11">
                  <c:v>21.672933333333333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C-4245-AA5C-792379CCE82F}"/>
            </c:ext>
          </c:extLst>
        </c:ser>
        <c:ser>
          <c:idx val="3"/>
          <c:order val="3"/>
          <c:tx>
            <c:strRef>
              <c:f>'GCM Cal.'!$AH$7</c:f>
              <c:strCache>
                <c:ptCount val="1"/>
                <c:pt idx="0">
                  <c:v>NCEP Tmax</c:v>
                </c:pt>
              </c:strCache>
            </c:strRef>
          </c:tx>
          <c:spPr>
            <a:ln w="38100" cmpd="sng">
              <a:solidFill>
                <a:schemeClr val="accent4">
                  <a:lumMod val="75000"/>
                </a:schemeClr>
              </a:solidFill>
              <a:prstDash val="sysDash"/>
            </a:ln>
          </c:spPr>
          <c:marker>
            <c:symbol val="triangle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Cal.'!$AD$8:$AD$19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Cal.'!$AH$8:$AH$19</c:f>
              <c:numCache>
                <c:formatCode>0.000</c:formatCode>
                <c:ptCount val="12"/>
                <c:pt idx="0">
                  <c:v>19.076866666666671</c:v>
                </c:pt>
                <c:pt idx="1">
                  <c:v>22.577833333333331</c:v>
                </c:pt>
                <c:pt idx="2">
                  <c:v>27.555299999999999</c:v>
                </c:pt>
                <c:pt idx="3">
                  <c:v>33.822833333333328</c:v>
                </c:pt>
                <c:pt idx="4">
                  <c:v>39.838699999999996</c:v>
                </c:pt>
                <c:pt idx="5">
                  <c:v>40.254666666666665</c:v>
                </c:pt>
                <c:pt idx="6">
                  <c:v>36.735899999999994</c:v>
                </c:pt>
                <c:pt idx="7">
                  <c:v>36.175633333333337</c:v>
                </c:pt>
                <c:pt idx="8">
                  <c:v>35.318433333333331</c:v>
                </c:pt>
                <c:pt idx="9">
                  <c:v>32.737000000000002</c:v>
                </c:pt>
                <c:pt idx="10">
                  <c:v>27.663466666666665</c:v>
                </c:pt>
                <c:pt idx="11">
                  <c:v>21.777599999999996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EC-4245-AA5C-792379CCE82F}"/>
            </c:ext>
          </c:extLst>
        </c:ser>
        <c:ser>
          <c:idx val="4"/>
          <c:order val="4"/>
          <c:tx>
            <c:strRef>
              <c:f>'GCM Cal.'!$AI$7</c:f>
              <c:strCache>
                <c:ptCount val="1"/>
                <c:pt idx="0">
                  <c:v>Obs. Tmin</c:v>
                </c:pt>
              </c:strCache>
            </c:strRef>
          </c:tx>
          <c:spPr>
            <a:ln w="38100" cap="rnd" cmpd="sng">
              <a:solidFill>
                <a:schemeClr val="tx1"/>
              </a:solidFill>
            </a:ln>
          </c:spPr>
          <c:marker>
            <c:symbol val="square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Cal.'!$AD$8:$AD$19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Cal.'!$AI$8:$AI$19</c:f>
              <c:numCache>
                <c:formatCode>0.000</c:formatCode>
                <c:ptCount val="12"/>
                <c:pt idx="0">
                  <c:v>5.9776786021503341</c:v>
                </c:pt>
                <c:pt idx="1">
                  <c:v>8.8175575268817195</c:v>
                </c:pt>
                <c:pt idx="2">
                  <c:v>13.826187390029325</c:v>
                </c:pt>
                <c:pt idx="3">
                  <c:v>19.029004040404043</c:v>
                </c:pt>
                <c:pt idx="4">
                  <c:v>24.253697165200396</c:v>
                </c:pt>
                <c:pt idx="5">
                  <c:v>27.215982828282829</c:v>
                </c:pt>
                <c:pt idx="6">
                  <c:v>27.248158162267838</c:v>
                </c:pt>
                <c:pt idx="7">
                  <c:v>26.883088465298147</c:v>
                </c:pt>
                <c:pt idx="8">
                  <c:v>24.699094949494935</c:v>
                </c:pt>
                <c:pt idx="9">
                  <c:v>18.535036852394931</c:v>
                </c:pt>
                <c:pt idx="10">
                  <c:v>12.840601010100999</c:v>
                </c:pt>
                <c:pt idx="11">
                  <c:v>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EC-4245-AA5C-792379CCE82F}"/>
            </c:ext>
          </c:extLst>
        </c:ser>
        <c:ser>
          <c:idx val="5"/>
          <c:order val="5"/>
          <c:tx>
            <c:strRef>
              <c:f>'GCM Cal.'!$AJ$7</c:f>
              <c:strCache>
                <c:ptCount val="1"/>
                <c:pt idx="0">
                  <c:v>NCEP Tmin</c:v>
                </c:pt>
              </c:strCache>
            </c:strRef>
          </c:tx>
          <c:spPr>
            <a:ln w="38100">
              <a:solidFill>
                <a:srgbClr val="00B0F0"/>
              </a:solidFill>
              <a:prstDash val="sysDash"/>
            </a:ln>
          </c:spPr>
          <c:marker>
            <c:symbol val="square"/>
            <c:size val="7"/>
            <c:spPr>
              <a:pattFill prst="dkUpDiag">
                <a:fgClr>
                  <a:schemeClr val="tx1"/>
                </a:fgClr>
                <a:bgClr>
                  <a:srgbClr val="FFC000"/>
                </a:bgClr>
              </a:patt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strRef>
              <c:f>'GCM Cal.'!$AD$8:$AD$19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Cal.'!$AJ$8:$AJ$19</c:f>
              <c:numCache>
                <c:formatCode>0.000</c:formatCode>
                <c:ptCount val="12"/>
                <c:pt idx="0">
                  <c:v>6.0982151026392968</c:v>
                </c:pt>
                <c:pt idx="1">
                  <c:v>8.8886710752688014</c:v>
                </c:pt>
                <c:pt idx="2">
                  <c:v>13.814431964809385</c:v>
                </c:pt>
                <c:pt idx="3">
                  <c:v>18.94483429292929</c:v>
                </c:pt>
                <c:pt idx="4">
                  <c:v>24.501247165200397</c:v>
                </c:pt>
                <c:pt idx="5">
                  <c:v>26.868016515151499</c:v>
                </c:pt>
                <c:pt idx="6">
                  <c:v>27.177872825024437</c:v>
                </c:pt>
                <c:pt idx="7">
                  <c:v>27.448166666666665</c:v>
                </c:pt>
                <c:pt idx="8">
                  <c:v>24.763931969696966</c:v>
                </c:pt>
                <c:pt idx="9">
                  <c:v>18.905022385141734</c:v>
                </c:pt>
                <c:pt idx="10">
                  <c:v>12.955579999999999</c:v>
                </c:pt>
                <c:pt idx="11">
                  <c:v>7.4333617302052799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EC-4245-AA5C-792379CCE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717312"/>
        <c:axId val="188715776"/>
      </c:lineChart>
      <c:valAx>
        <c:axId val="188703488"/>
        <c:scaling>
          <c:orientation val="minMax"/>
          <c:max val="50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 b="1">
                    <a:effectLst/>
                    <a:latin typeface="Arial" pitchFamily="34" charset="0"/>
                    <a:cs typeface="Arial" pitchFamily="34" charset="0"/>
                  </a:rPr>
                  <a:t>Rainfall</a:t>
                </a:r>
                <a:r>
                  <a:rPr lang="en-US" sz="1200" b="1" baseline="0">
                    <a:effectLst/>
                    <a:latin typeface="Arial" pitchFamily="34" charset="0"/>
                    <a:cs typeface="Arial" pitchFamily="34" charset="0"/>
                  </a:rPr>
                  <a:t> (mm)</a:t>
                </a:r>
                <a:endParaRPr lang="en-US" sz="1000">
                  <a:effectLst/>
                  <a:latin typeface="Arial" pitchFamily="34" charset="0"/>
                  <a:cs typeface="Arial" pitchFamily="34" charset="0"/>
                </a:endParaRPr>
              </a:p>
            </c:rich>
          </c:tx>
          <c:layout>
            <c:manualLayout>
              <c:xMode val="edge"/>
              <c:yMode val="edge"/>
              <c:x val="0.9594907407407407"/>
              <c:y val="0.35062736949547979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88705792"/>
        <c:crosses val="max"/>
        <c:crossBetween val="between"/>
        <c:majorUnit val="50"/>
        <c:minorUnit val="25"/>
      </c:valAx>
      <c:catAx>
        <c:axId val="188705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8703488"/>
        <c:crosses val="autoZero"/>
        <c:auto val="1"/>
        <c:lblAlgn val="ctr"/>
        <c:lblOffset val="100"/>
        <c:noMultiLvlLbl val="0"/>
      </c:catAx>
      <c:valAx>
        <c:axId val="188715776"/>
        <c:scaling>
          <c:orientation val="minMax"/>
          <c:max val="45"/>
          <c:min val="0"/>
        </c:scaling>
        <c:delete val="0"/>
        <c:axPos val="l"/>
        <c:numFmt formatCode="0" sourceLinked="0"/>
        <c:majorTickMark val="out"/>
        <c:minorTickMark val="out"/>
        <c:tickLblPos val="nextTo"/>
        <c:crossAx val="188717312"/>
        <c:crosses val="autoZero"/>
        <c:crossBetween val="between"/>
        <c:majorUnit val="5"/>
        <c:minorUnit val="1"/>
      </c:valAx>
      <c:catAx>
        <c:axId val="188717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715776"/>
        <c:crosses val="autoZero"/>
        <c:auto val="0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6.1933679939991652E-2"/>
          <c:y val="3.4993875099968139E-2"/>
          <c:w val="0.87432246649384548"/>
          <c:h val="6.1144089521395079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1600" b="1"/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tx1"/>
      </a:solidFill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8.1597223514909334E-2"/>
          <c:y val="4.4949329250510345E-2"/>
          <c:w val="0.83387011519393406"/>
          <c:h val="0.77804599113488693"/>
        </c:manualLayout>
      </c:layout>
      <c:lineChart>
        <c:grouping val="standard"/>
        <c:varyColors val="0"/>
        <c:ser>
          <c:idx val="0"/>
          <c:order val="0"/>
          <c:tx>
            <c:strRef>
              <c:f>'GCM Cal.'!$C$7</c:f>
              <c:strCache>
                <c:ptCount val="1"/>
                <c:pt idx="0">
                  <c:v>Obs. Rainfall LHR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chemeClr val="tx1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Cal.'!$C$8:$C$19</c:f>
              <c:numCache>
                <c:formatCode>General</c:formatCode>
                <c:ptCount val="12"/>
                <c:pt idx="0">
                  <c:v>21.9818</c:v>
                </c:pt>
                <c:pt idx="1">
                  <c:v>44.045499999999997</c:v>
                </c:pt>
                <c:pt idx="2">
                  <c:v>35.818199999999997</c:v>
                </c:pt>
                <c:pt idx="3">
                  <c:v>19.454499999999999</c:v>
                </c:pt>
                <c:pt idx="4">
                  <c:v>19.636399999999998</c:v>
                </c:pt>
                <c:pt idx="5">
                  <c:v>42.7545</c:v>
                </c:pt>
                <c:pt idx="6">
                  <c:v>167.66399999999999</c:v>
                </c:pt>
                <c:pt idx="7">
                  <c:v>178.2</c:v>
                </c:pt>
                <c:pt idx="8">
                  <c:v>85.7273</c:v>
                </c:pt>
                <c:pt idx="9">
                  <c:v>19.872699999999998</c:v>
                </c:pt>
                <c:pt idx="10">
                  <c:v>3.1818200000000001</c:v>
                </c:pt>
                <c:pt idx="11">
                  <c:v>14.7455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3-4DFB-97FE-2F3B28DD193B}"/>
            </c:ext>
          </c:extLst>
        </c:ser>
        <c:ser>
          <c:idx val="1"/>
          <c:order val="1"/>
          <c:tx>
            <c:strRef>
              <c:f>'GCM Cal.'!$D$7</c:f>
              <c:strCache>
                <c:ptCount val="1"/>
                <c:pt idx="0">
                  <c:v>NCEP Rainfall LHR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ysDash"/>
            </a:ln>
          </c:spPr>
          <c:marker>
            <c:symbol val="diamond"/>
            <c:size val="9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Cal.'!$D$8:$D$19</c:f>
              <c:numCache>
                <c:formatCode>General</c:formatCode>
                <c:ptCount val="12"/>
                <c:pt idx="0">
                  <c:v>26.801500000000001</c:v>
                </c:pt>
                <c:pt idx="1">
                  <c:v>57.099699999999999</c:v>
                </c:pt>
                <c:pt idx="2">
                  <c:v>26.4481</c:v>
                </c:pt>
                <c:pt idx="3">
                  <c:v>16.2544</c:v>
                </c:pt>
                <c:pt idx="4">
                  <c:v>31.334499999999998</c:v>
                </c:pt>
                <c:pt idx="5">
                  <c:v>32.764800000000001</c:v>
                </c:pt>
                <c:pt idx="6">
                  <c:v>230.67</c:v>
                </c:pt>
                <c:pt idx="7">
                  <c:v>251.136</c:v>
                </c:pt>
                <c:pt idx="8">
                  <c:v>146.89699999999999</c:v>
                </c:pt>
                <c:pt idx="9">
                  <c:v>17.222799999999999</c:v>
                </c:pt>
                <c:pt idx="10">
                  <c:v>2.76118</c:v>
                </c:pt>
                <c:pt idx="11">
                  <c:v>17.726600000000001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3-4DFB-97FE-2F3B28DD193B}"/>
            </c:ext>
          </c:extLst>
        </c:ser>
        <c:ser>
          <c:idx val="2"/>
          <c:order val="2"/>
          <c:tx>
            <c:strRef>
              <c:f>'GCM Cal.'!$E$7</c:f>
              <c:strCache>
                <c:ptCount val="1"/>
                <c:pt idx="0">
                  <c:v>Obs. Rainfall FSD</c:v>
                </c:pt>
              </c:strCache>
            </c:strRef>
          </c:tx>
          <c:spPr>
            <a:ln w="28575">
              <a:solidFill>
                <a:srgbClr val="0070C0"/>
              </a:solidFill>
            </a:ln>
          </c:spPr>
          <c:marker>
            <c:symbol val="triangle"/>
            <c:size val="9"/>
            <c:spPr>
              <a:solidFill>
                <a:schemeClr val="tx1"/>
              </a:solidFill>
              <a:ln>
                <a:solidFill>
                  <a:srgbClr val="0070C0"/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Cal.'!$E$8:$E$19</c:f>
              <c:numCache>
                <c:formatCode>0.000</c:formatCode>
                <c:ptCount val="12"/>
                <c:pt idx="0">
                  <c:v>9.4181818181818198</c:v>
                </c:pt>
                <c:pt idx="1">
                  <c:v>17.172727272727272</c:v>
                </c:pt>
                <c:pt idx="2">
                  <c:v>16.472727272727269</c:v>
                </c:pt>
                <c:pt idx="3">
                  <c:v>27.86363636363636</c:v>
                </c:pt>
                <c:pt idx="4">
                  <c:v>16.554545454545455</c:v>
                </c:pt>
                <c:pt idx="5">
                  <c:v>26.872727272727264</c:v>
                </c:pt>
                <c:pt idx="6">
                  <c:v>87.454545454545467</c:v>
                </c:pt>
                <c:pt idx="7">
                  <c:v>57.06363636363637</c:v>
                </c:pt>
                <c:pt idx="8">
                  <c:v>33.190909090909095</c:v>
                </c:pt>
                <c:pt idx="9">
                  <c:v>1.4090909090909092</c:v>
                </c:pt>
                <c:pt idx="10">
                  <c:v>1.4090909090909092</c:v>
                </c:pt>
                <c:pt idx="11">
                  <c:v>6.254545454545454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C3-4DFB-97FE-2F3B28DD193B}"/>
            </c:ext>
          </c:extLst>
        </c:ser>
        <c:ser>
          <c:idx val="3"/>
          <c:order val="3"/>
          <c:tx>
            <c:strRef>
              <c:f>'GCM Cal.'!$F$7</c:f>
              <c:strCache>
                <c:ptCount val="1"/>
                <c:pt idx="0">
                  <c:v>NCEP Rainfall FSD</c:v>
                </c:pt>
              </c:strCache>
            </c:strRef>
          </c:tx>
          <c:spPr>
            <a:ln w="28575">
              <a:solidFill>
                <a:srgbClr val="0070C0"/>
              </a:solidFill>
              <a:prstDash val="sysDash"/>
            </a:ln>
          </c:spPr>
          <c:marker>
            <c:symbol val="triangle"/>
            <c:size val="9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Cal.'!$F$8:$F$19</c:f>
              <c:numCache>
                <c:formatCode>0.000</c:formatCode>
                <c:ptCount val="12"/>
                <c:pt idx="0">
                  <c:v>18.54</c:v>
                </c:pt>
                <c:pt idx="1">
                  <c:v>46.417700000000004</c:v>
                </c:pt>
                <c:pt idx="2">
                  <c:v>10.3649</c:v>
                </c:pt>
                <c:pt idx="3">
                  <c:v>43.221499999999999</c:v>
                </c:pt>
                <c:pt idx="4">
                  <c:v>24.241700000000002</c:v>
                </c:pt>
                <c:pt idx="5">
                  <c:v>34.729599999999998</c:v>
                </c:pt>
                <c:pt idx="6">
                  <c:v>101.992</c:v>
                </c:pt>
                <c:pt idx="7">
                  <c:v>54.606400000000001</c:v>
                </c:pt>
                <c:pt idx="8">
                  <c:v>49.419499999999999</c:v>
                </c:pt>
                <c:pt idx="9">
                  <c:v>0</c:v>
                </c:pt>
                <c:pt idx="10">
                  <c:v>1.8621799999999999</c:v>
                </c:pt>
                <c:pt idx="11">
                  <c:v>15.170500000000001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C3-4DFB-97FE-2F3B28DD193B}"/>
            </c:ext>
          </c:extLst>
        </c:ser>
        <c:ser>
          <c:idx val="4"/>
          <c:order val="4"/>
          <c:tx>
            <c:strRef>
              <c:f>'GCM Cal.'!$G$7</c:f>
              <c:strCache>
                <c:ptCount val="1"/>
                <c:pt idx="0">
                  <c:v>Obs. Rainfall SGD</c:v>
                </c:pt>
              </c:strCache>
            </c:strRef>
          </c:tx>
          <c:spPr>
            <a:ln w="2857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circle"/>
            <c:size val="9"/>
            <c:spPr>
              <a:solidFill>
                <a:schemeClr val="tx1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Cal.'!$G$8:$G$19</c:f>
              <c:numCache>
                <c:formatCode>0.000</c:formatCode>
                <c:ptCount val="12"/>
                <c:pt idx="0">
                  <c:v>21.355</c:v>
                </c:pt>
                <c:pt idx="1">
                  <c:v>38.494999999999997</c:v>
                </c:pt>
                <c:pt idx="2">
                  <c:v>44.05</c:v>
                </c:pt>
                <c:pt idx="3">
                  <c:v>47.784999999999997</c:v>
                </c:pt>
                <c:pt idx="4">
                  <c:v>23.055</c:v>
                </c:pt>
                <c:pt idx="5">
                  <c:v>34.924999999999997</c:v>
                </c:pt>
                <c:pt idx="6">
                  <c:v>94.094999999999999</c:v>
                </c:pt>
                <c:pt idx="7">
                  <c:v>77.040000000000006</c:v>
                </c:pt>
                <c:pt idx="8">
                  <c:v>29.925000000000001</c:v>
                </c:pt>
                <c:pt idx="9">
                  <c:v>10.52</c:v>
                </c:pt>
                <c:pt idx="10">
                  <c:v>9.7349999999999994</c:v>
                </c:pt>
                <c:pt idx="11">
                  <c:v>11.775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C3-4DFB-97FE-2F3B28DD193B}"/>
            </c:ext>
          </c:extLst>
        </c:ser>
        <c:ser>
          <c:idx val="5"/>
          <c:order val="5"/>
          <c:tx>
            <c:strRef>
              <c:f>'GCM Cal.'!$H$7</c:f>
              <c:strCache>
                <c:ptCount val="1"/>
                <c:pt idx="0">
                  <c:v>NCEP Rainfall SGD</c:v>
                </c:pt>
              </c:strCache>
            </c:strRef>
          </c:tx>
          <c:spPr>
            <a:ln w="28575">
              <a:solidFill>
                <a:schemeClr val="tx1">
                  <a:lumMod val="95000"/>
                  <a:lumOff val="5000"/>
                </a:schemeClr>
              </a:solidFill>
              <a:prstDash val="sysDash"/>
            </a:ln>
          </c:spPr>
          <c:marker>
            <c:symbol val="circle"/>
            <c:size val="9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Cal.'!$H$8:$H$19</c:f>
              <c:numCache>
                <c:formatCode>0.000</c:formatCode>
                <c:ptCount val="12"/>
                <c:pt idx="0">
                  <c:v>18.914999999999999</c:v>
                </c:pt>
                <c:pt idx="1">
                  <c:v>37.873399999999997</c:v>
                </c:pt>
                <c:pt idx="2">
                  <c:v>27.043800000000001</c:v>
                </c:pt>
                <c:pt idx="3">
                  <c:v>29.869599999999998</c:v>
                </c:pt>
                <c:pt idx="4">
                  <c:v>9.4254999999999995</c:v>
                </c:pt>
                <c:pt idx="5">
                  <c:v>44.288200000000003</c:v>
                </c:pt>
                <c:pt idx="6">
                  <c:v>147.155</c:v>
                </c:pt>
                <c:pt idx="7">
                  <c:v>122.96899999999999</c:v>
                </c:pt>
                <c:pt idx="8">
                  <c:v>37.607599999999998</c:v>
                </c:pt>
                <c:pt idx="9">
                  <c:v>12.508900000000001</c:v>
                </c:pt>
                <c:pt idx="10">
                  <c:v>13.638999999999999</c:v>
                </c:pt>
                <c:pt idx="11">
                  <c:v>15.354900000000001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C3-4DFB-97FE-2F3B28DD1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44672"/>
        <c:axId val="188842368"/>
      </c:lineChart>
      <c:valAx>
        <c:axId val="188842368"/>
        <c:scaling>
          <c:orientation val="minMax"/>
          <c:max val="27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Rainfall (mm)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crossAx val="188844672"/>
        <c:crosses val="autoZero"/>
        <c:crossBetween val="between"/>
        <c:majorUnit val="25"/>
        <c:minorUnit val="25"/>
      </c:valAx>
      <c:catAx>
        <c:axId val="188844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crossAx val="188842368"/>
        <c:crosses val="autoZero"/>
        <c:auto val="0"/>
        <c:lblAlgn val="ctr"/>
        <c:lblOffset val="100"/>
        <c:noMultiLvlLbl val="0"/>
      </c:catAx>
      <c:spPr>
        <a:noFill/>
        <a:ln w="2540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8.8103441266134619E-2"/>
          <c:y val="5.7826393675427364E-2"/>
          <c:w val="0.4293016978345468"/>
          <c:h val="0.18221736158444388"/>
        </c:manualLayout>
      </c:layout>
      <c:overlay val="0"/>
      <c:spPr>
        <a:noFill/>
        <a:ln>
          <a:solidFill>
            <a:schemeClr val="bg1"/>
          </a:solidFill>
        </a:ln>
      </c:spPr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7.9495852354318039E-2"/>
          <c:y val="1.5629261509302501E-2"/>
          <c:w val="0.83387011519393406"/>
          <c:h val="0.74794140492506378"/>
        </c:manualLayout>
      </c:layout>
      <c:lineChart>
        <c:grouping val="standard"/>
        <c:varyColors val="0"/>
        <c:ser>
          <c:idx val="0"/>
          <c:order val="0"/>
          <c:tx>
            <c:strRef>
              <c:f>'GCM Cal.'!$L$7</c:f>
              <c:strCache>
                <c:ptCount val="1"/>
                <c:pt idx="0">
                  <c:v>Obs. Tmax LHR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chemeClr val="tx1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'GCM Cal.'!$K$8:$K$19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Cal.'!$L$8:$L$19</c:f>
              <c:numCache>
                <c:formatCode>0.000</c:formatCode>
                <c:ptCount val="12"/>
                <c:pt idx="0">
                  <c:v>19.239999999999998</c:v>
                </c:pt>
                <c:pt idx="1">
                  <c:v>22.55</c:v>
                </c:pt>
                <c:pt idx="2">
                  <c:v>27.46</c:v>
                </c:pt>
                <c:pt idx="3">
                  <c:v>34.26</c:v>
                </c:pt>
                <c:pt idx="4">
                  <c:v>38.909999999999997</c:v>
                </c:pt>
                <c:pt idx="5">
                  <c:v>39.25</c:v>
                </c:pt>
                <c:pt idx="6">
                  <c:v>35.729999999999997</c:v>
                </c:pt>
                <c:pt idx="7">
                  <c:v>34.909999999999997</c:v>
                </c:pt>
                <c:pt idx="8">
                  <c:v>34.76</c:v>
                </c:pt>
                <c:pt idx="9">
                  <c:v>32.450000000000003</c:v>
                </c:pt>
                <c:pt idx="10">
                  <c:v>27.65</c:v>
                </c:pt>
                <c:pt idx="11">
                  <c:v>21.69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D-4FAD-92C2-64701CA84504}"/>
            </c:ext>
          </c:extLst>
        </c:ser>
        <c:ser>
          <c:idx val="1"/>
          <c:order val="1"/>
          <c:tx>
            <c:strRef>
              <c:f>'GCM Cal.'!$M$7</c:f>
              <c:strCache>
                <c:ptCount val="1"/>
                <c:pt idx="0">
                  <c:v>NCEP Tmax LHR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ysDash"/>
            </a:ln>
          </c:spPr>
          <c:marker>
            <c:symbol val="diamond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 cap="sq">
                <a:solidFill>
                  <a:schemeClr val="tx1"/>
                </a:solidFill>
              </a:ln>
            </c:spPr>
          </c:marker>
          <c:cat>
            <c:strRef>
              <c:f>'GCM Cal.'!$K$8:$K$19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Cal.'!$M$8:$M$19</c:f>
              <c:numCache>
                <c:formatCode>0.000</c:formatCode>
                <c:ptCount val="12"/>
                <c:pt idx="0">
                  <c:v>19.02</c:v>
                </c:pt>
                <c:pt idx="1">
                  <c:v>22.97</c:v>
                </c:pt>
                <c:pt idx="2">
                  <c:v>27.72</c:v>
                </c:pt>
                <c:pt idx="3">
                  <c:v>35.119999999999997</c:v>
                </c:pt>
                <c:pt idx="4">
                  <c:v>39.979999999999997</c:v>
                </c:pt>
                <c:pt idx="5">
                  <c:v>38.119999999999997</c:v>
                </c:pt>
                <c:pt idx="6">
                  <c:v>35.04</c:v>
                </c:pt>
                <c:pt idx="7">
                  <c:v>35.25</c:v>
                </c:pt>
                <c:pt idx="8">
                  <c:v>34.67</c:v>
                </c:pt>
                <c:pt idx="9">
                  <c:v>32.200000000000003</c:v>
                </c:pt>
                <c:pt idx="10">
                  <c:v>28.49</c:v>
                </c:pt>
                <c:pt idx="11">
                  <c:v>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D-4FAD-92C2-64701CA84504}"/>
            </c:ext>
          </c:extLst>
        </c:ser>
        <c:ser>
          <c:idx val="2"/>
          <c:order val="2"/>
          <c:tx>
            <c:strRef>
              <c:f>'GCM Cal.'!$N$7</c:f>
              <c:strCache>
                <c:ptCount val="1"/>
                <c:pt idx="0">
                  <c:v>Obs. Tmax FSD</c:v>
                </c:pt>
              </c:strCache>
            </c:strRef>
          </c:tx>
          <c:spPr>
            <a:ln w="28575">
              <a:solidFill>
                <a:srgbClr val="0070C0"/>
              </a:solidFill>
            </a:ln>
          </c:spPr>
          <c:marker>
            <c:symbol val="triangle"/>
            <c:size val="7"/>
            <c:spPr>
              <a:solidFill>
                <a:schemeClr val="tx1"/>
              </a:solidFill>
              <a:ln>
                <a:solidFill>
                  <a:srgbClr val="0070C0"/>
                </a:solidFill>
              </a:ln>
            </c:spPr>
          </c:marker>
          <c:cat>
            <c:strRef>
              <c:f>'GCM Cal.'!$K$8:$K$19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Cal.'!$N$8:$N$19</c:f>
              <c:numCache>
                <c:formatCode>0.000</c:formatCode>
                <c:ptCount val="12"/>
                <c:pt idx="0">
                  <c:v>19.639600000000002</c:v>
                </c:pt>
                <c:pt idx="1">
                  <c:v>22.2087</c:v>
                </c:pt>
                <c:pt idx="2">
                  <c:v>26.349599999999999</c:v>
                </c:pt>
                <c:pt idx="3">
                  <c:v>32.839399999999998</c:v>
                </c:pt>
                <c:pt idx="4">
                  <c:v>38.926699999999997</c:v>
                </c:pt>
                <c:pt idx="5">
                  <c:v>40.9345</c:v>
                </c:pt>
                <c:pt idx="6">
                  <c:v>37.195300000000003</c:v>
                </c:pt>
                <c:pt idx="7">
                  <c:v>36.394100000000002</c:v>
                </c:pt>
                <c:pt idx="8">
                  <c:v>35.675199999999997</c:v>
                </c:pt>
                <c:pt idx="9">
                  <c:v>32.793500000000002</c:v>
                </c:pt>
                <c:pt idx="10">
                  <c:v>27.597000000000001</c:v>
                </c:pt>
                <c:pt idx="11">
                  <c:v>21.654800000000002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9D-4FAD-92C2-64701CA84504}"/>
            </c:ext>
          </c:extLst>
        </c:ser>
        <c:ser>
          <c:idx val="3"/>
          <c:order val="3"/>
          <c:tx>
            <c:strRef>
              <c:f>'GCM Cal.'!$O$7</c:f>
              <c:strCache>
                <c:ptCount val="1"/>
                <c:pt idx="0">
                  <c:v>NCEP Tmax FSD</c:v>
                </c:pt>
              </c:strCache>
            </c:strRef>
          </c:tx>
          <c:spPr>
            <a:ln w="28575">
              <a:solidFill>
                <a:srgbClr val="0070C0"/>
              </a:solidFill>
              <a:prstDash val="sysDash"/>
            </a:ln>
          </c:spPr>
          <c:marker>
            <c:symbol val="triangle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Cal.'!$K$8:$K$19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Cal.'!$O$8:$O$19</c:f>
              <c:numCache>
                <c:formatCode>0.000</c:formatCode>
                <c:ptCount val="12"/>
                <c:pt idx="0">
                  <c:v>19.350000000000001</c:v>
                </c:pt>
                <c:pt idx="1">
                  <c:v>22.55</c:v>
                </c:pt>
                <c:pt idx="2">
                  <c:v>26.58</c:v>
                </c:pt>
                <c:pt idx="3">
                  <c:v>31.87</c:v>
                </c:pt>
                <c:pt idx="4">
                  <c:v>39.508000000000003</c:v>
                </c:pt>
                <c:pt idx="5">
                  <c:v>41.938000000000002</c:v>
                </c:pt>
                <c:pt idx="6">
                  <c:v>38.197699999999998</c:v>
                </c:pt>
                <c:pt idx="7">
                  <c:v>37.17</c:v>
                </c:pt>
                <c:pt idx="8">
                  <c:v>35.770000000000003</c:v>
                </c:pt>
                <c:pt idx="9">
                  <c:v>32.520000000000003</c:v>
                </c:pt>
                <c:pt idx="10">
                  <c:v>27.021999999999998</c:v>
                </c:pt>
                <c:pt idx="11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9D-4FAD-92C2-64701CA84504}"/>
            </c:ext>
          </c:extLst>
        </c:ser>
        <c:ser>
          <c:idx val="4"/>
          <c:order val="4"/>
          <c:tx>
            <c:strRef>
              <c:f>'GCM Cal.'!$P$7</c:f>
              <c:strCache>
                <c:ptCount val="1"/>
                <c:pt idx="0">
                  <c:v>Obs. Tmax SGD</c:v>
                </c:pt>
              </c:strCache>
            </c:strRef>
          </c:tx>
          <c:spPr>
            <a:ln w="28575"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Cal.'!$K$8:$K$19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Cal.'!$P$8:$P$19</c:f>
              <c:numCache>
                <c:formatCode>0.000</c:formatCode>
                <c:ptCount val="12"/>
                <c:pt idx="0">
                  <c:v>18.8</c:v>
                </c:pt>
                <c:pt idx="1">
                  <c:v>22.123000000000001</c:v>
                </c:pt>
                <c:pt idx="2">
                  <c:v>28.282900000000001</c:v>
                </c:pt>
                <c:pt idx="3">
                  <c:v>33.409999999999997</c:v>
                </c:pt>
                <c:pt idx="4">
                  <c:v>39.974200000000003</c:v>
                </c:pt>
                <c:pt idx="5">
                  <c:v>39.369999999999997</c:v>
                </c:pt>
                <c:pt idx="6">
                  <c:v>37.048999999999999</c:v>
                </c:pt>
                <c:pt idx="7">
                  <c:v>35.877000000000002</c:v>
                </c:pt>
                <c:pt idx="8">
                  <c:v>35.468299999999999</c:v>
                </c:pt>
                <c:pt idx="9">
                  <c:v>34.029000000000003</c:v>
                </c:pt>
                <c:pt idx="10">
                  <c:v>27.34</c:v>
                </c:pt>
                <c:pt idx="11">
                  <c:v>21.673999999999999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9D-4FAD-92C2-64701CA84504}"/>
            </c:ext>
          </c:extLst>
        </c:ser>
        <c:ser>
          <c:idx val="5"/>
          <c:order val="5"/>
          <c:tx>
            <c:strRef>
              <c:f>'GCM Cal.'!$Q$7</c:f>
              <c:strCache>
                <c:ptCount val="1"/>
                <c:pt idx="0">
                  <c:v>NCEP Tmax SGD</c:v>
                </c:pt>
              </c:strCache>
            </c:strRef>
          </c:tx>
          <c:spPr>
            <a:ln w="28575">
              <a:solidFill>
                <a:schemeClr val="tx1"/>
              </a:solidFill>
              <a:prstDash val="sysDash"/>
            </a:ln>
          </c:spPr>
          <c:marker>
            <c:symbol val="circle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Cal.'!$K$8:$K$19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Cal.'!$Q$8:$Q$19</c:f>
              <c:numCache>
                <c:formatCode>0.000</c:formatCode>
                <c:ptCount val="12"/>
                <c:pt idx="0">
                  <c:v>18.860600000000002</c:v>
                </c:pt>
                <c:pt idx="1">
                  <c:v>22.2135</c:v>
                </c:pt>
                <c:pt idx="2">
                  <c:v>28.3659</c:v>
                </c:pt>
                <c:pt idx="3">
                  <c:v>34.478499999999997</c:v>
                </c:pt>
                <c:pt idx="4">
                  <c:v>40.028100000000002</c:v>
                </c:pt>
                <c:pt idx="5">
                  <c:v>40.706000000000003</c:v>
                </c:pt>
                <c:pt idx="6">
                  <c:v>36.97</c:v>
                </c:pt>
                <c:pt idx="7">
                  <c:v>36.106900000000003</c:v>
                </c:pt>
                <c:pt idx="8">
                  <c:v>35.515300000000003</c:v>
                </c:pt>
                <c:pt idx="9">
                  <c:v>33.491</c:v>
                </c:pt>
                <c:pt idx="10">
                  <c:v>27.478400000000001</c:v>
                </c:pt>
                <c:pt idx="11">
                  <c:v>22.1128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9D-4FAD-92C2-64701CA84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79232"/>
        <c:axId val="188876672"/>
      </c:lineChart>
      <c:valAx>
        <c:axId val="188876672"/>
        <c:scaling>
          <c:orientation val="minMax"/>
          <c:max val="4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 b="1">
                    <a:effectLst/>
                    <a:latin typeface="Arial" pitchFamily="34" charset="0"/>
                    <a:cs typeface="Arial" pitchFamily="34" charset="0"/>
                  </a:rPr>
                  <a:t>Tmax</a:t>
                </a:r>
                <a:r>
                  <a:rPr lang="en-US" sz="1200" b="1" baseline="0">
                    <a:effectLst/>
                    <a:latin typeface="Arial" pitchFamily="34" charset="0"/>
                    <a:cs typeface="Arial" pitchFamily="34" charset="0"/>
                  </a:rPr>
                  <a:t> (°C)</a:t>
                </a:r>
                <a:endParaRPr lang="en-US" sz="1000">
                  <a:effectLst/>
                  <a:latin typeface="Arial" pitchFamily="34" charset="0"/>
                  <a:cs typeface="Arial" pitchFamily="34" charset="0"/>
                </a:endParaRPr>
              </a:p>
            </c:rich>
          </c:tx>
          <c:overlay val="0"/>
        </c:title>
        <c:numFmt formatCode="0" sourceLinked="0"/>
        <c:majorTickMark val="out"/>
        <c:minorTickMark val="out"/>
        <c:tickLblPos val="nextTo"/>
        <c:crossAx val="188879232"/>
        <c:crosses val="autoZero"/>
        <c:crossBetween val="between"/>
        <c:majorUnit val="5"/>
        <c:minorUnit val="5"/>
      </c:valAx>
      <c:catAx>
        <c:axId val="188879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crossAx val="188876672"/>
        <c:crosses val="autoZero"/>
        <c:auto val="0"/>
        <c:lblAlgn val="ctr"/>
        <c:lblOffset val="100"/>
        <c:noMultiLvlLbl val="0"/>
      </c:catAx>
      <c:spPr>
        <a:noFill/>
        <a:ln w="25400">
          <a:solidFill>
            <a:schemeClr val="tx1"/>
          </a:solidFill>
        </a:ln>
        <a:effectLst/>
      </c:spPr>
    </c:plotArea>
    <c:legend>
      <c:legendPos val="t"/>
      <c:legendEntry>
        <c:idx val="3"/>
        <c:txPr>
          <a:bodyPr/>
          <a:lstStyle/>
          <a:p>
            <a:pPr>
              <a:defRPr sz="1200" b="1"/>
            </a:pPr>
            <a:endParaRPr lang="en-US"/>
          </a:p>
        </c:txPr>
      </c:legendEntry>
      <c:layout>
        <c:manualLayout>
          <c:xMode val="edge"/>
          <c:yMode val="edge"/>
          <c:x val="0.26597915394623822"/>
          <c:y val="0.55357461666233521"/>
          <c:w val="0.45796826636784088"/>
          <c:h val="0.14614607869220916"/>
        </c:manualLayout>
      </c:layout>
      <c:overlay val="0"/>
      <c:spPr>
        <a:noFill/>
        <a:ln>
          <a:solidFill>
            <a:schemeClr val="bg1"/>
          </a:solidFill>
        </a:ln>
      </c:spPr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7.949584426946632E-2"/>
          <c:y val="1.9023403324584423E-2"/>
          <c:w val="0.83387011519393406"/>
          <c:h val="0.80860148731408577"/>
        </c:manualLayout>
      </c:layout>
      <c:lineChart>
        <c:grouping val="standard"/>
        <c:varyColors val="0"/>
        <c:ser>
          <c:idx val="0"/>
          <c:order val="0"/>
          <c:tx>
            <c:strRef>
              <c:f>'GCM Cal.'!$U$7</c:f>
              <c:strCache>
                <c:ptCount val="1"/>
                <c:pt idx="0">
                  <c:v>Obs. Tmin LHR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chemeClr val="tx1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'GCM Cal.'!$T$8:$T$19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Cal.'!$U$8:$U$19</c:f>
              <c:numCache>
                <c:formatCode>General</c:formatCode>
                <c:ptCount val="12"/>
                <c:pt idx="0">
                  <c:v>7.2292258064509998</c:v>
                </c:pt>
                <c:pt idx="1">
                  <c:v>9.8403225806451555</c:v>
                </c:pt>
                <c:pt idx="2">
                  <c:v>14.266862170087979</c:v>
                </c:pt>
                <c:pt idx="3">
                  <c:v>19.351212121212125</c:v>
                </c:pt>
                <c:pt idx="4">
                  <c:v>24.2868914956012</c:v>
                </c:pt>
                <c:pt idx="5">
                  <c:v>27.354848484848482</c:v>
                </c:pt>
                <c:pt idx="6">
                  <c:v>27.070674486803515</c:v>
                </c:pt>
                <c:pt idx="7">
                  <c:v>26.779765395894437</c:v>
                </c:pt>
                <c:pt idx="8">
                  <c:v>24.958484848484801</c:v>
                </c:pt>
                <c:pt idx="9">
                  <c:v>18.3604105571848</c:v>
                </c:pt>
                <c:pt idx="10">
                  <c:v>12.970303030303</c:v>
                </c:pt>
                <c:pt idx="11">
                  <c:v>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C-45A7-A990-933645D23554}"/>
            </c:ext>
          </c:extLst>
        </c:ser>
        <c:ser>
          <c:idx val="1"/>
          <c:order val="1"/>
          <c:tx>
            <c:strRef>
              <c:f>'GCM Cal.'!$V$7</c:f>
              <c:strCache>
                <c:ptCount val="1"/>
                <c:pt idx="0">
                  <c:v>NCEP Tmin LHR</c:v>
                </c:pt>
              </c:strCache>
            </c:strRef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diamond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</c:spPr>
          </c:marker>
          <c:cat>
            <c:strRef>
              <c:f>'GCM Cal.'!$T$8:$T$19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Cal.'!$V$8:$V$19</c:f>
              <c:numCache>
                <c:formatCode>General</c:formatCode>
                <c:ptCount val="12"/>
                <c:pt idx="0">
                  <c:v>6.966745307917888</c:v>
                </c:pt>
                <c:pt idx="1">
                  <c:v>10.1760132258064</c:v>
                </c:pt>
                <c:pt idx="2">
                  <c:v>14.012295894428153</c:v>
                </c:pt>
                <c:pt idx="3">
                  <c:v>19.054502878787876</c:v>
                </c:pt>
                <c:pt idx="4">
                  <c:v>24.8485414956012</c:v>
                </c:pt>
                <c:pt idx="5">
                  <c:v>26.084049545454501</c:v>
                </c:pt>
                <c:pt idx="6">
                  <c:v>26.853618475073311</c:v>
                </c:pt>
                <c:pt idx="7">
                  <c:v>28.2545</c:v>
                </c:pt>
                <c:pt idx="8">
                  <c:v>24.622295909090901</c:v>
                </c:pt>
                <c:pt idx="9">
                  <c:v>18.615067155425201</c:v>
                </c:pt>
                <c:pt idx="10">
                  <c:v>12.932740000000001</c:v>
                </c:pt>
                <c:pt idx="11">
                  <c:v>8.0682851906158373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C-45A7-A990-933645D23554}"/>
            </c:ext>
          </c:extLst>
        </c:ser>
        <c:ser>
          <c:idx val="2"/>
          <c:order val="2"/>
          <c:tx>
            <c:strRef>
              <c:f>'GCM Cal.'!$W$7</c:f>
              <c:strCache>
                <c:ptCount val="1"/>
                <c:pt idx="0">
                  <c:v>Obs. Tmin FSD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7"/>
            <c:spPr>
              <a:solidFill>
                <a:schemeClr val="tx1"/>
              </a:solidFill>
              <a:ln>
                <a:solidFill>
                  <a:srgbClr val="0070C0"/>
                </a:solidFill>
              </a:ln>
            </c:spPr>
          </c:marker>
          <c:cat>
            <c:strRef>
              <c:f>'GCM Cal.'!$T$8:$T$19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Cal.'!$W$8:$W$19</c:f>
              <c:numCache>
                <c:formatCode>General</c:formatCode>
                <c:ptCount val="12"/>
                <c:pt idx="0">
                  <c:v>4.9134900000000004</c:v>
                </c:pt>
                <c:pt idx="1">
                  <c:v>7.4187099999999999</c:v>
                </c:pt>
                <c:pt idx="2">
                  <c:v>12.321999999999999</c:v>
                </c:pt>
                <c:pt idx="3">
                  <c:v>17.4361</c:v>
                </c:pt>
                <c:pt idx="4">
                  <c:v>23.258099999999999</c:v>
                </c:pt>
                <c:pt idx="5">
                  <c:v>26.7364</c:v>
                </c:pt>
                <c:pt idx="6">
                  <c:v>27.200900000000001</c:v>
                </c:pt>
                <c:pt idx="7">
                  <c:v>26.821400000000001</c:v>
                </c:pt>
                <c:pt idx="8">
                  <c:v>24.018799999999999</c:v>
                </c:pt>
                <c:pt idx="9">
                  <c:v>17.046299999999999</c:v>
                </c:pt>
                <c:pt idx="10">
                  <c:v>12.735200000000001</c:v>
                </c:pt>
                <c:pt idx="11">
                  <c:v>6.1622599999999998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FC-45A7-A990-933645D23554}"/>
            </c:ext>
          </c:extLst>
        </c:ser>
        <c:ser>
          <c:idx val="3"/>
          <c:order val="3"/>
          <c:tx>
            <c:strRef>
              <c:f>'GCM Cal.'!$X$7</c:f>
              <c:strCache>
                <c:ptCount val="1"/>
                <c:pt idx="0">
                  <c:v>NCEP Tmin FSD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marker>
            <c:symbol val="triangle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Cal.'!$T$8:$T$19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Cal.'!$X$8:$X$19</c:f>
              <c:numCache>
                <c:formatCode>General</c:formatCode>
                <c:ptCount val="12"/>
                <c:pt idx="0">
                  <c:v>4.9398999999999997</c:v>
                </c:pt>
                <c:pt idx="1">
                  <c:v>7.12</c:v>
                </c:pt>
                <c:pt idx="2">
                  <c:v>12.55</c:v>
                </c:pt>
                <c:pt idx="3">
                  <c:v>17.04</c:v>
                </c:pt>
                <c:pt idx="4">
                  <c:v>23.47</c:v>
                </c:pt>
                <c:pt idx="5">
                  <c:v>27.36</c:v>
                </c:pt>
                <c:pt idx="6">
                  <c:v>27.6</c:v>
                </c:pt>
                <c:pt idx="7">
                  <c:v>26.6</c:v>
                </c:pt>
                <c:pt idx="8">
                  <c:v>24.440999999999999</c:v>
                </c:pt>
                <c:pt idx="9">
                  <c:v>18.190000000000001</c:v>
                </c:pt>
                <c:pt idx="10">
                  <c:v>11.98</c:v>
                </c:pt>
                <c:pt idx="11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FC-45A7-A990-933645D23554}"/>
            </c:ext>
          </c:extLst>
        </c:ser>
        <c:ser>
          <c:idx val="4"/>
          <c:order val="4"/>
          <c:tx>
            <c:strRef>
              <c:f>'GCM Cal.'!$Y$7</c:f>
              <c:strCache>
                <c:ptCount val="1"/>
                <c:pt idx="0">
                  <c:v>Obs. Tmin SGD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Cal.'!$T$8:$T$19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Cal.'!$Y$8:$Y$19</c:f>
              <c:numCache>
                <c:formatCode>General</c:formatCode>
                <c:ptCount val="12"/>
                <c:pt idx="0">
                  <c:v>5.7903200000000004</c:v>
                </c:pt>
                <c:pt idx="1">
                  <c:v>9.1936400000000003</c:v>
                </c:pt>
                <c:pt idx="2">
                  <c:v>14.889699999999999</c:v>
                </c:pt>
                <c:pt idx="3">
                  <c:v>20.299700000000001</c:v>
                </c:pt>
                <c:pt idx="4">
                  <c:v>25.216100000000001</c:v>
                </c:pt>
                <c:pt idx="5">
                  <c:v>27.556699999999999</c:v>
                </c:pt>
                <c:pt idx="6">
                  <c:v>27.472899999999999</c:v>
                </c:pt>
                <c:pt idx="7">
                  <c:v>27.048100000000002</c:v>
                </c:pt>
                <c:pt idx="8">
                  <c:v>25.12</c:v>
                </c:pt>
                <c:pt idx="9">
                  <c:v>20.198399999999999</c:v>
                </c:pt>
                <c:pt idx="10">
                  <c:v>12.8163</c:v>
                </c:pt>
                <c:pt idx="11">
                  <c:v>7.6277400000000002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FC-45A7-A990-933645D23554}"/>
            </c:ext>
          </c:extLst>
        </c:ser>
        <c:ser>
          <c:idx val="5"/>
          <c:order val="5"/>
          <c:tx>
            <c:strRef>
              <c:f>'GCM Cal.'!$Z$7</c:f>
              <c:strCache>
                <c:ptCount val="1"/>
                <c:pt idx="0">
                  <c:v>NCEP Tmin SGD</c:v>
                </c:pt>
              </c:strCache>
            </c:strRef>
          </c:tx>
          <c:spPr>
            <a:ln>
              <a:solidFill>
                <a:schemeClr val="tx1"/>
              </a:solidFill>
              <a:prstDash val="sysDash"/>
            </a:ln>
          </c:spPr>
          <c:marker>
            <c:symbol val="circle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Cal.'!$T$8:$T$19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Cal.'!$Z$8:$Z$19</c:f>
              <c:numCache>
                <c:formatCode>General</c:formatCode>
                <c:ptCount val="12"/>
                <c:pt idx="0">
                  <c:v>6.3879999999999999</c:v>
                </c:pt>
                <c:pt idx="1">
                  <c:v>9.3699999999999992</c:v>
                </c:pt>
                <c:pt idx="2">
                  <c:v>14.881</c:v>
                </c:pt>
                <c:pt idx="3">
                  <c:v>20.74</c:v>
                </c:pt>
                <c:pt idx="4">
                  <c:v>25.185199999999998</c:v>
                </c:pt>
                <c:pt idx="5">
                  <c:v>27.16</c:v>
                </c:pt>
                <c:pt idx="6">
                  <c:v>27.08</c:v>
                </c:pt>
                <c:pt idx="7">
                  <c:v>27.49</c:v>
                </c:pt>
                <c:pt idx="8">
                  <c:v>25.2285</c:v>
                </c:pt>
                <c:pt idx="9">
                  <c:v>19.91</c:v>
                </c:pt>
                <c:pt idx="10">
                  <c:v>13.954000000000001</c:v>
                </c:pt>
                <c:pt idx="11">
                  <c:v>7.8318000000000003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FC-45A7-A990-933645D23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918016"/>
        <c:axId val="188915712"/>
      </c:lineChart>
      <c:valAx>
        <c:axId val="188915712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 b="1">
                    <a:effectLst/>
                    <a:latin typeface="Arial" pitchFamily="34" charset="0"/>
                    <a:cs typeface="Arial" pitchFamily="34" charset="0"/>
                  </a:rPr>
                  <a:t>Tmin</a:t>
                </a:r>
                <a:r>
                  <a:rPr lang="en-US" sz="1200" b="1" baseline="0">
                    <a:effectLst/>
                    <a:latin typeface="Arial" pitchFamily="34" charset="0"/>
                    <a:cs typeface="Arial" pitchFamily="34" charset="0"/>
                  </a:rPr>
                  <a:t> (°C)</a:t>
                </a:r>
                <a:endParaRPr lang="en-US" sz="1000">
                  <a:effectLst/>
                  <a:latin typeface="Arial" pitchFamily="34" charset="0"/>
                  <a:cs typeface="Arial" pitchFamily="34" charset="0"/>
                </a:endParaRPr>
              </a:p>
            </c:rich>
          </c:tx>
          <c:layout>
            <c:manualLayout>
              <c:xMode val="edge"/>
              <c:yMode val="edge"/>
              <c:x val="2.2803933362496354E-2"/>
              <c:y val="0.36284375911344413"/>
            </c:manualLayout>
          </c:layout>
          <c:overlay val="0"/>
        </c:title>
        <c:numFmt formatCode="0" sourceLinked="0"/>
        <c:majorTickMark val="out"/>
        <c:minorTickMark val="out"/>
        <c:tickLblPos val="nextTo"/>
        <c:crossAx val="188918016"/>
        <c:crosses val="autoZero"/>
        <c:crossBetween val="between"/>
        <c:majorUnit val="5"/>
        <c:minorUnit val="5"/>
      </c:valAx>
      <c:catAx>
        <c:axId val="188918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crossAx val="188915712"/>
        <c:crosses val="autoZero"/>
        <c:auto val="0"/>
        <c:lblAlgn val="ctr"/>
        <c:lblOffset val="100"/>
        <c:noMultiLvlLbl val="0"/>
      </c:catAx>
      <c:spPr>
        <a:noFill/>
        <a:ln w="2540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7814025670927423"/>
          <c:y val="0.60926602510507377"/>
          <c:w val="0.45528471724790109"/>
          <c:h val="0.17774652694213483"/>
        </c:manualLayout>
      </c:layout>
      <c:overlay val="0"/>
      <c:spPr>
        <a:noFill/>
        <a:ln>
          <a:solidFill>
            <a:schemeClr val="bg1"/>
          </a:solidFill>
        </a:ln>
      </c:spPr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8.1814520239853375E-2"/>
          <c:y val="0.23913618219597546"/>
          <c:w val="0.83387011519393406"/>
          <c:h val="0.59500355424321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'GCM Cal.'!$C$7</c:f>
              <c:strCache>
                <c:ptCount val="1"/>
                <c:pt idx="0">
                  <c:v>Obs. Rainfall LHR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Cal.'!$C$8:$C$19</c:f>
              <c:numCache>
                <c:formatCode>General</c:formatCode>
                <c:ptCount val="12"/>
                <c:pt idx="0">
                  <c:v>21.9818</c:v>
                </c:pt>
                <c:pt idx="1">
                  <c:v>44.045499999999997</c:v>
                </c:pt>
                <c:pt idx="2">
                  <c:v>35.818199999999997</c:v>
                </c:pt>
                <c:pt idx="3">
                  <c:v>19.454499999999999</c:v>
                </c:pt>
                <c:pt idx="4">
                  <c:v>19.636399999999998</c:v>
                </c:pt>
                <c:pt idx="5">
                  <c:v>42.7545</c:v>
                </c:pt>
                <c:pt idx="6">
                  <c:v>167.66399999999999</c:v>
                </c:pt>
                <c:pt idx="7">
                  <c:v>178.2</c:v>
                </c:pt>
                <c:pt idx="8">
                  <c:v>85.7273</c:v>
                </c:pt>
                <c:pt idx="9">
                  <c:v>19.872699999999998</c:v>
                </c:pt>
                <c:pt idx="10">
                  <c:v>3.1818200000000001</c:v>
                </c:pt>
                <c:pt idx="11">
                  <c:v>14.7455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3-4907-8603-E880496273DA}"/>
            </c:ext>
          </c:extLst>
        </c:ser>
        <c:ser>
          <c:idx val="1"/>
          <c:order val="1"/>
          <c:tx>
            <c:strRef>
              <c:f>'GCM Cal.'!$D$7</c:f>
              <c:strCache>
                <c:ptCount val="1"/>
                <c:pt idx="0">
                  <c:v>NCEP Rainfall LHR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accent3">
                  <a:lumMod val="50000"/>
                </a:schemeClr>
              </a:bgClr>
            </a:pattFill>
            <a:ln w="38100" cap="rnd" cmpd="dbl">
              <a:noFill/>
              <a:prstDash val="sysDash"/>
            </a:ln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Cal.'!$D$8:$D$19</c:f>
              <c:numCache>
                <c:formatCode>General</c:formatCode>
                <c:ptCount val="12"/>
                <c:pt idx="0">
                  <c:v>26.801500000000001</c:v>
                </c:pt>
                <c:pt idx="1">
                  <c:v>57.099699999999999</c:v>
                </c:pt>
                <c:pt idx="2">
                  <c:v>26.4481</c:v>
                </c:pt>
                <c:pt idx="3">
                  <c:v>16.2544</c:v>
                </c:pt>
                <c:pt idx="4">
                  <c:v>31.334499999999998</c:v>
                </c:pt>
                <c:pt idx="5">
                  <c:v>32.764800000000001</c:v>
                </c:pt>
                <c:pt idx="6">
                  <c:v>230.67</c:v>
                </c:pt>
                <c:pt idx="7">
                  <c:v>251.136</c:v>
                </c:pt>
                <c:pt idx="8">
                  <c:v>146.89699999999999</c:v>
                </c:pt>
                <c:pt idx="9">
                  <c:v>17.222799999999999</c:v>
                </c:pt>
                <c:pt idx="10">
                  <c:v>2.76118</c:v>
                </c:pt>
                <c:pt idx="11">
                  <c:v>17.726600000000001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E3-4907-8603-E880496273DA}"/>
            </c:ext>
          </c:extLst>
        </c:ser>
        <c:ser>
          <c:idx val="2"/>
          <c:order val="2"/>
          <c:tx>
            <c:strRef>
              <c:f>'GCM Cal.'!$E$7</c:f>
              <c:strCache>
                <c:ptCount val="1"/>
                <c:pt idx="0">
                  <c:v>Obs. Rainfall FSD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Cal.'!$E$8:$E$19</c:f>
              <c:numCache>
                <c:formatCode>0.000</c:formatCode>
                <c:ptCount val="12"/>
                <c:pt idx="0">
                  <c:v>9.4181818181818198</c:v>
                </c:pt>
                <c:pt idx="1">
                  <c:v>17.172727272727272</c:v>
                </c:pt>
                <c:pt idx="2">
                  <c:v>16.472727272727269</c:v>
                </c:pt>
                <c:pt idx="3">
                  <c:v>27.86363636363636</c:v>
                </c:pt>
                <c:pt idx="4">
                  <c:v>16.554545454545455</c:v>
                </c:pt>
                <c:pt idx="5">
                  <c:v>26.872727272727264</c:v>
                </c:pt>
                <c:pt idx="6">
                  <c:v>87.454545454545467</c:v>
                </c:pt>
                <c:pt idx="7">
                  <c:v>57.06363636363637</c:v>
                </c:pt>
                <c:pt idx="8">
                  <c:v>33.190909090909095</c:v>
                </c:pt>
                <c:pt idx="9">
                  <c:v>1.4090909090909092</c:v>
                </c:pt>
                <c:pt idx="10">
                  <c:v>1.4090909090909092</c:v>
                </c:pt>
                <c:pt idx="11">
                  <c:v>6.254545454545454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E3-4907-8603-E880496273DA}"/>
            </c:ext>
          </c:extLst>
        </c:ser>
        <c:ser>
          <c:idx val="3"/>
          <c:order val="3"/>
          <c:tx>
            <c:strRef>
              <c:f>'GCM Cal.'!$F$7</c:f>
              <c:strCache>
                <c:ptCount val="1"/>
                <c:pt idx="0">
                  <c:v>NCEP Rainfall FSD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accent2">
                  <a:lumMod val="50000"/>
                </a:schemeClr>
              </a:bgClr>
            </a:pattFill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Cal.'!$F$8:$F$19</c:f>
              <c:numCache>
                <c:formatCode>0.000</c:formatCode>
                <c:ptCount val="12"/>
                <c:pt idx="0">
                  <c:v>18.54</c:v>
                </c:pt>
                <c:pt idx="1">
                  <c:v>46.417700000000004</c:v>
                </c:pt>
                <c:pt idx="2">
                  <c:v>10.3649</c:v>
                </c:pt>
                <c:pt idx="3">
                  <c:v>43.221499999999999</c:v>
                </c:pt>
                <c:pt idx="4">
                  <c:v>24.241700000000002</c:v>
                </c:pt>
                <c:pt idx="5">
                  <c:v>34.729599999999998</c:v>
                </c:pt>
                <c:pt idx="6">
                  <c:v>101.992</c:v>
                </c:pt>
                <c:pt idx="7">
                  <c:v>54.606400000000001</c:v>
                </c:pt>
                <c:pt idx="8">
                  <c:v>49.419499999999999</c:v>
                </c:pt>
                <c:pt idx="9">
                  <c:v>0</c:v>
                </c:pt>
                <c:pt idx="10">
                  <c:v>1.8621799999999999</c:v>
                </c:pt>
                <c:pt idx="11">
                  <c:v>15.170500000000001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E3-4907-8603-E880496273DA}"/>
            </c:ext>
          </c:extLst>
        </c:ser>
        <c:ser>
          <c:idx val="4"/>
          <c:order val="4"/>
          <c:tx>
            <c:strRef>
              <c:f>'GCM Cal.'!$G$7</c:f>
              <c:strCache>
                <c:ptCount val="1"/>
                <c:pt idx="0">
                  <c:v>Obs. Rainfall SGD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Cal.'!$G$8:$G$19</c:f>
              <c:numCache>
                <c:formatCode>0.000</c:formatCode>
                <c:ptCount val="12"/>
                <c:pt idx="0">
                  <c:v>21.355</c:v>
                </c:pt>
                <c:pt idx="1">
                  <c:v>38.494999999999997</c:v>
                </c:pt>
                <c:pt idx="2">
                  <c:v>44.05</c:v>
                </c:pt>
                <c:pt idx="3">
                  <c:v>47.784999999999997</c:v>
                </c:pt>
                <c:pt idx="4">
                  <c:v>23.055</c:v>
                </c:pt>
                <c:pt idx="5">
                  <c:v>34.924999999999997</c:v>
                </c:pt>
                <c:pt idx="6">
                  <c:v>94.094999999999999</c:v>
                </c:pt>
                <c:pt idx="7">
                  <c:v>77.040000000000006</c:v>
                </c:pt>
                <c:pt idx="8">
                  <c:v>29.925000000000001</c:v>
                </c:pt>
                <c:pt idx="9">
                  <c:v>10.52</c:v>
                </c:pt>
                <c:pt idx="10">
                  <c:v>9.7349999999999994</c:v>
                </c:pt>
                <c:pt idx="11">
                  <c:v>11.775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E3-4907-8603-E880496273DA}"/>
            </c:ext>
          </c:extLst>
        </c:ser>
        <c:ser>
          <c:idx val="5"/>
          <c:order val="5"/>
          <c:tx>
            <c:strRef>
              <c:f>'GCM Cal.'!$H$7</c:f>
              <c:strCache>
                <c:ptCount val="1"/>
                <c:pt idx="0">
                  <c:v>NCEP Rainfall SGD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accent6">
                  <a:lumMod val="50000"/>
                </a:schemeClr>
              </a:bgClr>
            </a:pattFill>
            <a:ln w="38100" cap="rnd" cmpd="sng">
              <a:noFill/>
              <a:prstDash val="solid"/>
            </a:ln>
          </c:spPr>
          <c:invertIfNegative val="0"/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Cal.'!$H$8:$H$19</c:f>
              <c:numCache>
                <c:formatCode>0.000</c:formatCode>
                <c:ptCount val="12"/>
                <c:pt idx="0">
                  <c:v>18.914999999999999</c:v>
                </c:pt>
                <c:pt idx="1">
                  <c:v>37.873399999999997</c:v>
                </c:pt>
                <c:pt idx="2">
                  <c:v>27.043800000000001</c:v>
                </c:pt>
                <c:pt idx="3">
                  <c:v>29.869599999999998</c:v>
                </c:pt>
                <c:pt idx="4">
                  <c:v>9.4254999999999995</c:v>
                </c:pt>
                <c:pt idx="5">
                  <c:v>44.288200000000003</c:v>
                </c:pt>
                <c:pt idx="6">
                  <c:v>147.155</c:v>
                </c:pt>
                <c:pt idx="7">
                  <c:v>122.96899999999999</c:v>
                </c:pt>
                <c:pt idx="8">
                  <c:v>37.607599999999998</c:v>
                </c:pt>
                <c:pt idx="9">
                  <c:v>12.508900000000001</c:v>
                </c:pt>
                <c:pt idx="10">
                  <c:v>13.638999999999999</c:v>
                </c:pt>
                <c:pt idx="11">
                  <c:v>15.354900000000001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E3-4907-8603-E88049627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077376"/>
        <c:axId val="189075456"/>
      </c:barChart>
      <c:lineChart>
        <c:grouping val="standard"/>
        <c:varyColors val="0"/>
        <c:ser>
          <c:idx val="8"/>
          <c:order val="6"/>
          <c:tx>
            <c:strRef>
              <c:f>'GCM Cal.'!$L$7</c:f>
              <c:strCache>
                <c:ptCount val="1"/>
                <c:pt idx="0">
                  <c:v>Obs. Tmax LHR</c:v>
                </c:pt>
              </c:strCache>
            </c:strRef>
          </c:tx>
          <c:spPr>
            <a:ln w="28575" cmpd="sng">
              <a:solidFill>
                <a:schemeClr val="accent3">
                  <a:lumMod val="50000"/>
                </a:schemeClr>
              </a:solidFill>
              <a:prstDash val="solid"/>
            </a:ln>
          </c:spPr>
          <c:marker>
            <c:symbol val="diamond"/>
            <c:size val="6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Cal.'!$L$8:$L$19</c:f>
              <c:numCache>
                <c:formatCode>0.000</c:formatCode>
                <c:ptCount val="12"/>
                <c:pt idx="0">
                  <c:v>19.239999999999998</c:v>
                </c:pt>
                <c:pt idx="1">
                  <c:v>22.55</c:v>
                </c:pt>
                <c:pt idx="2">
                  <c:v>27.46</c:v>
                </c:pt>
                <c:pt idx="3">
                  <c:v>34.26</c:v>
                </c:pt>
                <c:pt idx="4">
                  <c:v>38.909999999999997</c:v>
                </c:pt>
                <c:pt idx="5">
                  <c:v>39.25</c:v>
                </c:pt>
                <c:pt idx="6">
                  <c:v>35.729999999999997</c:v>
                </c:pt>
                <c:pt idx="7">
                  <c:v>34.909999999999997</c:v>
                </c:pt>
                <c:pt idx="8">
                  <c:v>34.76</c:v>
                </c:pt>
                <c:pt idx="9">
                  <c:v>32.450000000000003</c:v>
                </c:pt>
                <c:pt idx="10">
                  <c:v>27.65</c:v>
                </c:pt>
                <c:pt idx="11">
                  <c:v>21.69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E3-4907-8603-E880496273DA}"/>
            </c:ext>
          </c:extLst>
        </c:ser>
        <c:ser>
          <c:idx val="9"/>
          <c:order val="7"/>
          <c:tx>
            <c:strRef>
              <c:f>'GCM Cal.'!$M$7</c:f>
              <c:strCache>
                <c:ptCount val="1"/>
                <c:pt idx="0">
                  <c:v>NCEP Tmax LHR</c:v>
                </c:pt>
              </c:strCache>
            </c:strRef>
          </c:tx>
          <c:spPr>
            <a:ln w="28575" cap="sq" cmpd="sng">
              <a:solidFill>
                <a:schemeClr val="accent3">
                  <a:lumMod val="50000"/>
                </a:schemeClr>
              </a:solidFill>
              <a:prstDash val="sysDash"/>
              <a:round/>
              <a:headEnd w="sm" len="sm"/>
            </a:ln>
          </c:spPr>
          <c:marker>
            <c:symbol val="diamond"/>
            <c:size val="6"/>
            <c:spPr>
              <a:pattFill prst="dkUpDiag">
                <a:fgClr>
                  <a:schemeClr val="tx1"/>
                </a:fgClr>
                <a:bgClr>
                  <a:schemeClr val="accent3">
                    <a:lumMod val="50000"/>
                  </a:schemeClr>
                </a:bgClr>
              </a:pattFill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Cal.'!$M$8:$M$19</c:f>
              <c:numCache>
                <c:formatCode>0.000</c:formatCode>
                <c:ptCount val="12"/>
                <c:pt idx="0">
                  <c:v>19.02</c:v>
                </c:pt>
                <c:pt idx="1">
                  <c:v>22.97</c:v>
                </c:pt>
                <c:pt idx="2">
                  <c:v>27.72</c:v>
                </c:pt>
                <c:pt idx="3">
                  <c:v>35.119999999999997</c:v>
                </c:pt>
                <c:pt idx="4">
                  <c:v>39.979999999999997</c:v>
                </c:pt>
                <c:pt idx="5">
                  <c:v>38.119999999999997</c:v>
                </c:pt>
                <c:pt idx="6">
                  <c:v>35.04</c:v>
                </c:pt>
                <c:pt idx="7">
                  <c:v>35.25</c:v>
                </c:pt>
                <c:pt idx="8">
                  <c:v>34.67</c:v>
                </c:pt>
                <c:pt idx="9">
                  <c:v>32.200000000000003</c:v>
                </c:pt>
                <c:pt idx="10">
                  <c:v>28.49</c:v>
                </c:pt>
                <c:pt idx="11">
                  <c:v>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E3-4907-8603-E880496273DA}"/>
            </c:ext>
          </c:extLst>
        </c:ser>
        <c:ser>
          <c:idx val="10"/>
          <c:order val="8"/>
          <c:tx>
            <c:strRef>
              <c:f>'GCM Cal.'!$N$7</c:f>
              <c:strCache>
                <c:ptCount val="1"/>
                <c:pt idx="0">
                  <c:v>Obs. Tmax FSD</c:v>
                </c:pt>
              </c:strCache>
            </c:strRef>
          </c:tx>
          <c:spPr>
            <a:ln w="28575" cap="rnd" cmpd="sng">
              <a:solidFill>
                <a:srgbClr val="FF0000"/>
              </a:solidFill>
            </a:ln>
          </c:spPr>
          <c:marker>
            <c:symbol val="triangle"/>
            <c:size val="6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Cal.'!$N$8:$N$19</c:f>
              <c:numCache>
                <c:formatCode>0.000</c:formatCode>
                <c:ptCount val="12"/>
                <c:pt idx="0">
                  <c:v>19.639600000000002</c:v>
                </c:pt>
                <c:pt idx="1">
                  <c:v>22.2087</c:v>
                </c:pt>
                <c:pt idx="2">
                  <c:v>26.349599999999999</c:v>
                </c:pt>
                <c:pt idx="3">
                  <c:v>32.839399999999998</c:v>
                </c:pt>
                <c:pt idx="4">
                  <c:v>38.926699999999997</c:v>
                </c:pt>
                <c:pt idx="5">
                  <c:v>40.9345</c:v>
                </c:pt>
                <c:pt idx="6">
                  <c:v>37.195300000000003</c:v>
                </c:pt>
                <c:pt idx="7">
                  <c:v>36.394100000000002</c:v>
                </c:pt>
                <c:pt idx="8">
                  <c:v>35.675199999999997</c:v>
                </c:pt>
                <c:pt idx="9">
                  <c:v>32.793500000000002</c:v>
                </c:pt>
                <c:pt idx="10">
                  <c:v>27.597000000000001</c:v>
                </c:pt>
                <c:pt idx="11">
                  <c:v>21.654800000000002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E3-4907-8603-E880496273DA}"/>
            </c:ext>
          </c:extLst>
        </c:ser>
        <c:ser>
          <c:idx val="11"/>
          <c:order val="9"/>
          <c:tx>
            <c:strRef>
              <c:f>'GCM Cal.'!$O$7</c:f>
              <c:strCache>
                <c:ptCount val="1"/>
                <c:pt idx="0">
                  <c:v>NCEP Tmax FSD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ysDash"/>
            </a:ln>
          </c:spPr>
          <c:marker>
            <c:symbol val="triangle"/>
            <c:size val="6"/>
            <c:spPr>
              <a:pattFill prst="dkUpDiag">
                <a:fgClr>
                  <a:schemeClr val="tx1"/>
                </a:fgClr>
                <a:bgClr>
                  <a:schemeClr val="accent2">
                    <a:lumMod val="50000"/>
                  </a:schemeClr>
                </a:bgClr>
              </a:pattFill>
              <a:ln w="9525" cap="sq" cmpd="sng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Cal.'!$O$8:$O$19</c:f>
              <c:numCache>
                <c:formatCode>0.000</c:formatCode>
                <c:ptCount val="12"/>
                <c:pt idx="0">
                  <c:v>19.350000000000001</c:v>
                </c:pt>
                <c:pt idx="1">
                  <c:v>22.55</c:v>
                </c:pt>
                <c:pt idx="2">
                  <c:v>26.58</c:v>
                </c:pt>
                <c:pt idx="3">
                  <c:v>31.87</c:v>
                </c:pt>
                <c:pt idx="4">
                  <c:v>39.508000000000003</c:v>
                </c:pt>
                <c:pt idx="5">
                  <c:v>41.938000000000002</c:v>
                </c:pt>
                <c:pt idx="6">
                  <c:v>38.197699999999998</c:v>
                </c:pt>
                <c:pt idx="7">
                  <c:v>37.17</c:v>
                </c:pt>
                <c:pt idx="8">
                  <c:v>35.770000000000003</c:v>
                </c:pt>
                <c:pt idx="9">
                  <c:v>32.520000000000003</c:v>
                </c:pt>
                <c:pt idx="10">
                  <c:v>27.021999999999998</c:v>
                </c:pt>
                <c:pt idx="11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E3-4907-8603-E880496273DA}"/>
            </c:ext>
          </c:extLst>
        </c:ser>
        <c:ser>
          <c:idx val="12"/>
          <c:order val="10"/>
          <c:tx>
            <c:strRef>
              <c:f>'GCM Cal.'!$P$7</c:f>
              <c:strCache>
                <c:ptCount val="1"/>
                <c:pt idx="0">
                  <c:v>Obs. Tmax SGD</c:v>
                </c:pt>
              </c:strCache>
            </c:strRef>
          </c:tx>
          <c:spPr>
            <a:ln w="28575" cap="sq">
              <a:solidFill>
                <a:srgbClr val="FFFF00"/>
              </a:solidFill>
            </a:ln>
          </c:spPr>
          <c:marker>
            <c:symbol val="square"/>
            <c:size val="6"/>
            <c:spPr>
              <a:noFill/>
              <a:ln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Cal.'!$P$8:$P$19</c:f>
              <c:numCache>
                <c:formatCode>0.000</c:formatCode>
                <c:ptCount val="12"/>
                <c:pt idx="0">
                  <c:v>18.8</c:v>
                </c:pt>
                <c:pt idx="1">
                  <c:v>22.123000000000001</c:v>
                </c:pt>
                <c:pt idx="2">
                  <c:v>28.282900000000001</c:v>
                </c:pt>
                <c:pt idx="3">
                  <c:v>33.409999999999997</c:v>
                </c:pt>
                <c:pt idx="4">
                  <c:v>39.974200000000003</c:v>
                </c:pt>
                <c:pt idx="5">
                  <c:v>39.369999999999997</c:v>
                </c:pt>
                <c:pt idx="6">
                  <c:v>37.048999999999999</c:v>
                </c:pt>
                <c:pt idx="7">
                  <c:v>35.877000000000002</c:v>
                </c:pt>
                <c:pt idx="8">
                  <c:v>35.468299999999999</c:v>
                </c:pt>
                <c:pt idx="9">
                  <c:v>34.029000000000003</c:v>
                </c:pt>
                <c:pt idx="10">
                  <c:v>27.34</c:v>
                </c:pt>
                <c:pt idx="11">
                  <c:v>21.673999999999999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E3-4907-8603-E880496273DA}"/>
            </c:ext>
          </c:extLst>
        </c:ser>
        <c:ser>
          <c:idx val="13"/>
          <c:order val="11"/>
          <c:tx>
            <c:strRef>
              <c:f>'GCM Cal.'!$Q$7</c:f>
              <c:strCache>
                <c:ptCount val="1"/>
                <c:pt idx="0">
                  <c:v>NCEP Tmax SGD</c:v>
                </c:pt>
              </c:strCache>
            </c:strRef>
          </c:tx>
          <c:spPr>
            <a:ln w="28575">
              <a:solidFill>
                <a:srgbClr val="FFC000"/>
              </a:solidFill>
              <a:prstDash val="sysDash"/>
            </a:ln>
          </c:spPr>
          <c:marker>
            <c:symbol val="square"/>
            <c:size val="6"/>
            <c:spPr>
              <a:pattFill prst="dkUpDiag">
                <a:fgClr>
                  <a:schemeClr val="tx1"/>
                </a:fgClr>
                <a:bgClr>
                  <a:schemeClr val="accent6">
                    <a:lumMod val="50000"/>
                  </a:schemeClr>
                </a:bgClr>
              </a:pattFill>
              <a:ln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Cal.'!$Q$8:$Q$19</c:f>
              <c:numCache>
                <c:formatCode>0.000</c:formatCode>
                <c:ptCount val="12"/>
                <c:pt idx="0">
                  <c:v>18.860600000000002</c:v>
                </c:pt>
                <c:pt idx="1">
                  <c:v>22.2135</c:v>
                </c:pt>
                <c:pt idx="2">
                  <c:v>28.3659</c:v>
                </c:pt>
                <c:pt idx="3">
                  <c:v>34.478499999999997</c:v>
                </c:pt>
                <c:pt idx="4">
                  <c:v>40.028100000000002</c:v>
                </c:pt>
                <c:pt idx="5">
                  <c:v>40.706000000000003</c:v>
                </c:pt>
                <c:pt idx="6">
                  <c:v>36.97</c:v>
                </c:pt>
                <c:pt idx="7">
                  <c:v>36.106900000000003</c:v>
                </c:pt>
                <c:pt idx="8">
                  <c:v>35.515300000000003</c:v>
                </c:pt>
                <c:pt idx="9">
                  <c:v>33.491</c:v>
                </c:pt>
                <c:pt idx="10">
                  <c:v>27.478400000000001</c:v>
                </c:pt>
                <c:pt idx="11">
                  <c:v>22.1128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E3-4907-8603-E880496273DA}"/>
            </c:ext>
          </c:extLst>
        </c:ser>
        <c:ser>
          <c:idx val="16"/>
          <c:order val="12"/>
          <c:tx>
            <c:strRef>
              <c:f>'GCM Cal.'!$U$7</c:f>
              <c:strCache>
                <c:ptCount val="1"/>
                <c:pt idx="0">
                  <c:v>Obs. Tmin LHR</c:v>
                </c:pt>
              </c:strCache>
            </c:strRef>
          </c:tx>
          <c:spPr>
            <a:ln w="28575" cap="rnd" cmpd="sng">
              <a:solidFill>
                <a:schemeClr val="accent4">
                  <a:lumMod val="50000"/>
                </a:schemeClr>
              </a:solidFill>
              <a:bevel/>
            </a:ln>
          </c:spPr>
          <c:marker>
            <c:symbol val="diamond"/>
            <c:size val="6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Cal.'!$U$8:$U$19</c:f>
              <c:numCache>
                <c:formatCode>General</c:formatCode>
                <c:ptCount val="12"/>
                <c:pt idx="0">
                  <c:v>7.2292258064509998</c:v>
                </c:pt>
                <c:pt idx="1">
                  <c:v>9.8403225806451555</c:v>
                </c:pt>
                <c:pt idx="2">
                  <c:v>14.266862170087979</c:v>
                </c:pt>
                <c:pt idx="3">
                  <c:v>19.351212121212125</c:v>
                </c:pt>
                <c:pt idx="4">
                  <c:v>24.2868914956012</c:v>
                </c:pt>
                <c:pt idx="5">
                  <c:v>27.354848484848482</c:v>
                </c:pt>
                <c:pt idx="6">
                  <c:v>27.070674486803515</c:v>
                </c:pt>
                <c:pt idx="7">
                  <c:v>26.779765395894437</c:v>
                </c:pt>
                <c:pt idx="8">
                  <c:v>24.958484848484801</c:v>
                </c:pt>
                <c:pt idx="9">
                  <c:v>18.3604105571848</c:v>
                </c:pt>
                <c:pt idx="10">
                  <c:v>12.970303030303</c:v>
                </c:pt>
                <c:pt idx="11">
                  <c:v>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E3-4907-8603-E880496273DA}"/>
            </c:ext>
          </c:extLst>
        </c:ser>
        <c:ser>
          <c:idx val="17"/>
          <c:order val="13"/>
          <c:tx>
            <c:strRef>
              <c:f>'GCM Cal.'!$V$7</c:f>
              <c:strCache>
                <c:ptCount val="1"/>
                <c:pt idx="0">
                  <c:v>NCEP Tmin LHR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prstDash val="sysDash"/>
              <a:round/>
            </a:ln>
          </c:spPr>
          <c:marker>
            <c:symbol val="diamond"/>
            <c:size val="6"/>
            <c:spPr>
              <a:pattFill prst="dkUpDiag">
                <a:fgClr>
                  <a:schemeClr val="tx1"/>
                </a:fgClr>
                <a:bgClr>
                  <a:schemeClr val="accent3">
                    <a:lumMod val="50000"/>
                  </a:schemeClr>
                </a:bgClr>
              </a:pattFill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Cal.'!$V$8:$V$19</c:f>
              <c:numCache>
                <c:formatCode>General</c:formatCode>
                <c:ptCount val="12"/>
                <c:pt idx="0">
                  <c:v>6.966745307917888</c:v>
                </c:pt>
                <c:pt idx="1">
                  <c:v>10.1760132258064</c:v>
                </c:pt>
                <c:pt idx="2">
                  <c:v>14.012295894428153</c:v>
                </c:pt>
                <c:pt idx="3">
                  <c:v>19.054502878787876</c:v>
                </c:pt>
                <c:pt idx="4">
                  <c:v>24.8485414956012</c:v>
                </c:pt>
                <c:pt idx="5">
                  <c:v>26.084049545454501</c:v>
                </c:pt>
                <c:pt idx="6">
                  <c:v>26.853618475073311</c:v>
                </c:pt>
                <c:pt idx="7">
                  <c:v>28.2545</c:v>
                </c:pt>
                <c:pt idx="8">
                  <c:v>24.622295909090901</c:v>
                </c:pt>
                <c:pt idx="9">
                  <c:v>18.615067155425201</c:v>
                </c:pt>
                <c:pt idx="10">
                  <c:v>12.932740000000001</c:v>
                </c:pt>
                <c:pt idx="11">
                  <c:v>8.0682851906158373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E3-4907-8603-E880496273DA}"/>
            </c:ext>
          </c:extLst>
        </c:ser>
        <c:ser>
          <c:idx val="18"/>
          <c:order val="14"/>
          <c:tx>
            <c:strRef>
              <c:f>'GCM Cal.'!$W$7</c:f>
              <c:strCache>
                <c:ptCount val="1"/>
                <c:pt idx="0">
                  <c:v>Obs. Tmin FSD</c:v>
                </c:pt>
              </c:strCache>
            </c:strRef>
          </c:tx>
          <c:spPr>
            <a:ln w="28575" cmpd="dbl">
              <a:solidFill>
                <a:schemeClr val="accent2">
                  <a:lumMod val="50000"/>
                </a:schemeClr>
              </a:solidFill>
            </a:ln>
          </c:spPr>
          <c:marker>
            <c:symbol val="triangle"/>
            <c:size val="6"/>
            <c:spPr>
              <a:noFill/>
              <a:ln cap="sq">
                <a:solidFill>
                  <a:schemeClr val="accent2">
                    <a:lumMod val="50000"/>
                  </a:schemeClr>
                </a:solidFill>
              </a:ln>
            </c:spPr>
          </c:marker>
          <c:dPt>
            <c:idx val="3"/>
            <c:marker>
              <c:symbol val="diamond"/>
              <c:size val="6"/>
            </c:marker>
            <c:bubble3D val="0"/>
            <c:extLst>
              <c:ext xmlns:c16="http://schemas.microsoft.com/office/drawing/2014/chart" uri="{C3380CC4-5D6E-409C-BE32-E72D297353CC}">
                <c16:uniqueId val="{0000000E-68E3-4907-8603-E880496273DA}"/>
              </c:ext>
            </c:extLst>
          </c:dPt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Cal.'!$W$8:$W$19</c:f>
              <c:numCache>
                <c:formatCode>General</c:formatCode>
                <c:ptCount val="12"/>
                <c:pt idx="0">
                  <c:v>4.9134900000000004</c:v>
                </c:pt>
                <c:pt idx="1">
                  <c:v>7.4187099999999999</c:v>
                </c:pt>
                <c:pt idx="2">
                  <c:v>12.321999999999999</c:v>
                </c:pt>
                <c:pt idx="3">
                  <c:v>17.4361</c:v>
                </c:pt>
                <c:pt idx="4">
                  <c:v>23.258099999999999</c:v>
                </c:pt>
                <c:pt idx="5">
                  <c:v>26.7364</c:v>
                </c:pt>
                <c:pt idx="6">
                  <c:v>27.200900000000001</c:v>
                </c:pt>
                <c:pt idx="7">
                  <c:v>26.821400000000001</c:v>
                </c:pt>
                <c:pt idx="8">
                  <c:v>24.018799999999999</c:v>
                </c:pt>
                <c:pt idx="9">
                  <c:v>17.046299999999999</c:v>
                </c:pt>
                <c:pt idx="10">
                  <c:v>12.735200000000001</c:v>
                </c:pt>
                <c:pt idx="11">
                  <c:v>6.1622599999999998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E3-4907-8603-E880496273DA}"/>
            </c:ext>
          </c:extLst>
        </c:ser>
        <c:ser>
          <c:idx val="19"/>
          <c:order val="15"/>
          <c:tx>
            <c:strRef>
              <c:f>'GCM Cal.'!$X$7</c:f>
              <c:strCache>
                <c:ptCount val="1"/>
                <c:pt idx="0">
                  <c:v>NCEP Tmin FSD</c:v>
                </c:pt>
              </c:strCache>
            </c:strRef>
          </c:tx>
          <c:spPr>
            <a:ln w="28575">
              <a:solidFill>
                <a:schemeClr val="accent2">
                  <a:lumMod val="50000"/>
                </a:schemeClr>
              </a:solidFill>
              <a:prstDash val="sysDot"/>
            </a:ln>
          </c:spPr>
          <c:marker>
            <c:symbol val="triangle"/>
            <c:size val="6"/>
            <c:spPr>
              <a:pattFill prst="dkUpDiag">
                <a:fgClr>
                  <a:schemeClr val="tx1"/>
                </a:fgClr>
                <a:bgClr>
                  <a:schemeClr val="accent2">
                    <a:lumMod val="50000"/>
                  </a:schemeClr>
                </a:bgClr>
              </a:pattFill>
              <a:ln cap="sq"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Cal.'!$X$8:$X$19</c:f>
              <c:numCache>
                <c:formatCode>General</c:formatCode>
                <c:ptCount val="12"/>
                <c:pt idx="0">
                  <c:v>4.9398999999999997</c:v>
                </c:pt>
                <c:pt idx="1">
                  <c:v>7.12</c:v>
                </c:pt>
                <c:pt idx="2">
                  <c:v>12.55</c:v>
                </c:pt>
                <c:pt idx="3">
                  <c:v>17.04</c:v>
                </c:pt>
                <c:pt idx="4">
                  <c:v>23.47</c:v>
                </c:pt>
                <c:pt idx="5">
                  <c:v>27.36</c:v>
                </c:pt>
                <c:pt idx="6">
                  <c:v>27.6</c:v>
                </c:pt>
                <c:pt idx="7">
                  <c:v>26.6</c:v>
                </c:pt>
                <c:pt idx="8">
                  <c:v>24.440999999999999</c:v>
                </c:pt>
                <c:pt idx="9">
                  <c:v>18.190000000000001</c:v>
                </c:pt>
                <c:pt idx="10">
                  <c:v>11.98</c:v>
                </c:pt>
                <c:pt idx="11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E3-4907-8603-E880496273DA}"/>
            </c:ext>
          </c:extLst>
        </c:ser>
        <c:ser>
          <c:idx val="20"/>
          <c:order val="16"/>
          <c:tx>
            <c:strRef>
              <c:f>'GCM Cal.'!$Y$7</c:f>
              <c:strCache>
                <c:ptCount val="1"/>
                <c:pt idx="0">
                  <c:v>Obs. Tmin SGD</c:v>
                </c:pt>
              </c:strCache>
            </c:strRef>
          </c:tx>
          <c:spPr>
            <a:ln w="28575" cmpd="dbl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square"/>
            <c:size val="6"/>
            <c:spPr>
              <a:noFill/>
              <a:ln cap="sq"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Cal.'!$Y$8:$Y$19</c:f>
              <c:numCache>
                <c:formatCode>General</c:formatCode>
                <c:ptCount val="12"/>
                <c:pt idx="0">
                  <c:v>5.7903200000000004</c:v>
                </c:pt>
                <c:pt idx="1">
                  <c:v>9.1936400000000003</c:v>
                </c:pt>
                <c:pt idx="2">
                  <c:v>14.889699999999999</c:v>
                </c:pt>
                <c:pt idx="3">
                  <c:v>20.299700000000001</c:v>
                </c:pt>
                <c:pt idx="4">
                  <c:v>25.216100000000001</c:v>
                </c:pt>
                <c:pt idx="5">
                  <c:v>27.556699999999999</c:v>
                </c:pt>
                <c:pt idx="6">
                  <c:v>27.472899999999999</c:v>
                </c:pt>
                <c:pt idx="7">
                  <c:v>27.048100000000002</c:v>
                </c:pt>
                <c:pt idx="8">
                  <c:v>25.12</c:v>
                </c:pt>
                <c:pt idx="9">
                  <c:v>20.198399999999999</c:v>
                </c:pt>
                <c:pt idx="10">
                  <c:v>12.8163</c:v>
                </c:pt>
                <c:pt idx="11">
                  <c:v>7.6277400000000002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E3-4907-8603-E880496273DA}"/>
            </c:ext>
          </c:extLst>
        </c:ser>
        <c:ser>
          <c:idx val="21"/>
          <c:order val="17"/>
          <c:tx>
            <c:strRef>
              <c:f>'GCM Cal.'!$Z$7</c:f>
              <c:strCache>
                <c:ptCount val="1"/>
                <c:pt idx="0">
                  <c:v>NCEP Tmin SGD</c:v>
                </c:pt>
              </c:strCache>
            </c:strRef>
          </c:tx>
          <c:spPr>
            <a:ln w="28575" cmpd="sng">
              <a:solidFill>
                <a:schemeClr val="accent6">
                  <a:lumMod val="50000"/>
                </a:schemeClr>
              </a:solidFill>
              <a:prstDash val="sysDot"/>
            </a:ln>
          </c:spPr>
          <c:marker>
            <c:symbol val="square"/>
            <c:size val="6"/>
            <c:spPr>
              <a:pattFill prst="dkUpDiag">
                <a:fgClr>
                  <a:schemeClr val="tx1"/>
                </a:fgClr>
                <a:bgClr>
                  <a:schemeClr val="accent6">
                    <a:lumMod val="50000"/>
                  </a:schemeClr>
                </a:bgClr>
              </a:pattFill>
              <a:ln cap="rnd" cmpd="sng"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strRef>
              <c:f>'GCM Cal.'!$B$8:$B$19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Cal.'!$Z$8:$Z$19</c:f>
              <c:numCache>
                <c:formatCode>General</c:formatCode>
                <c:ptCount val="12"/>
                <c:pt idx="0">
                  <c:v>6.3879999999999999</c:v>
                </c:pt>
                <c:pt idx="1">
                  <c:v>9.3699999999999992</c:v>
                </c:pt>
                <c:pt idx="2">
                  <c:v>14.881</c:v>
                </c:pt>
                <c:pt idx="3">
                  <c:v>20.74</c:v>
                </c:pt>
                <c:pt idx="4">
                  <c:v>25.185199999999998</c:v>
                </c:pt>
                <c:pt idx="5">
                  <c:v>27.16</c:v>
                </c:pt>
                <c:pt idx="6">
                  <c:v>27.08</c:v>
                </c:pt>
                <c:pt idx="7">
                  <c:v>27.49</c:v>
                </c:pt>
                <c:pt idx="8">
                  <c:v>25.2285</c:v>
                </c:pt>
                <c:pt idx="9">
                  <c:v>19.91</c:v>
                </c:pt>
                <c:pt idx="10">
                  <c:v>13.954000000000001</c:v>
                </c:pt>
                <c:pt idx="11">
                  <c:v>7.8318000000000003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E3-4907-8603-E88049627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998016"/>
        <c:axId val="188999936"/>
      </c:lineChart>
      <c:catAx>
        <c:axId val="188998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19050">
            <a:noFill/>
          </a:ln>
        </c:spPr>
        <c:crossAx val="188999936"/>
        <c:crossesAt val="0"/>
        <c:auto val="0"/>
        <c:lblAlgn val="ctr"/>
        <c:lblOffset val="100"/>
        <c:noMultiLvlLbl val="0"/>
      </c:catAx>
      <c:valAx>
        <c:axId val="188999936"/>
        <c:scaling>
          <c:orientation val="minMax"/>
          <c:max val="45"/>
          <c:min val="0"/>
        </c:scaling>
        <c:delete val="0"/>
        <c:axPos val="l"/>
        <c:numFmt formatCode="0" sourceLinked="0"/>
        <c:majorTickMark val="out"/>
        <c:minorTickMark val="out"/>
        <c:tickLblPos val="nextTo"/>
        <c:spPr>
          <a:noFill/>
          <a:ln w="9525" cmpd="sng">
            <a:solidFill>
              <a:schemeClr val="tx1"/>
            </a:solidFill>
          </a:ln>
        </c:spPr>
        <c:crossAx val="188998016"/>
        <c:crosses val="autoZero"/>
        <c:crossBetween val="between"/>
        <c:majorUnit val="5"/>
        <c:minorUnit val="1"/>
      </c:valAx>
      <c:valAx>
        <c:axId val="189075456"/>
        <c:scaling>
          <c:orientation val="minMax"/>
          <c:max val="275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 b="1">
                    <a:effectLst/>
                    <a:latin typeface="Arial" pitchFamily="34" charset="0"/>
                    <a:cs typeface="Arial" pitchFamily="34" charset="0"/>
                  </a:rPr>
                  <a:t>Rainfall</a:t>
                </a:r>
                <a:r>
                  <a:rPr lang="en-US" sz="1200" b="1" baseline="0">
                    <a:effectLst/>
                    <a:latin typeface="Arial" pitchFamily="34" charset="0"/>
                    <a:cs typeface="Arial" pitchFamily="34" charset="0"/>
                  </a:rPr>
                  <a:t> (mm)</a:t>
                </a:r>
                <a:endParaRPr lang="en-US" sz="1000">
                  <a:effectLst/>
                  <a:latin typeface="Arial" pitchFamily="34" charset="0"/>
                  <a:cs typeface="Arial" pitchFamily="34" charset="0"/>
                </a:endParaRPr>
              </a:p>
            </c:rich>
          </c:tx>
          <c:layout>
            <c:manualLayout>
              <c:xMode val="edge"/>
              <c:yMode val="edge"/>
              <c:x val="0.9594907407407407"/>
              <c:y val="0.35062736949547979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89077376"/>
        <c:crosses val="max"/>
        <c:crossBetween val="between"/>
        <c:majorUnit val="25"/>
        <c:minorUnit val="25"/>
      </c:valAx>
      <c:catAx>
        <c:axId val="189077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07545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egendEntry>
        <c:idx val="7"/>
        <c:txPr>
          <a:bodyPr/>
          <a:lstStyle/>
          <a:p>
            <a:pPr>
              <a:defRPr sz="1200" b="1" strike="noStrike" baseline="0">
                <a:solidFill>
                  <a:schemeClr val="tx1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6.3092590103865269E-3"/>
          <c:y val="3.2648130761422658E-2"/>
          <c:w val="0.98994360137536219"/>
          <c:h val="0.14457324420290696"/>
        </c:manualLayout>
      </c:layout>
      <c:overlay val="1"/>
      <c:spPr>
        <a:noFill/>
        <a:ln>
          <a:noFill/>
        </a:ln>
      </c:spPr>
      <c:txPr>
        <a:bodyPr/>
        <a:lstStyle/>
        <a:p>
          <a:pPr>
            <a:defRPr sz="1200" b="1" strike="noStrike" baseline="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tx1"/>
      </a:solidFill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7.8449652737160078E-2"/>
          <c:y val="0.12075937773403325"/>
          <c:w val="0.83387011519393406"/>
          <c:h val="0.706865430883639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'GCM Cal.'!$AE$7</c:f>
              <c:strCache>
                <c:ptCount val="1"/>
                <c:pt idx="0">
                  <c:v>Obs.  Rainfall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invertIfNegative val="0"/>
          <c:cat>
            <c:strRef>
              <c:f>'GCM Cal.'!$AD$8:$AD$19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Cal.'!$AE$8:$AE$19</c:f>
              <c:numCache>
                <c:formatCode>General</c:formatCode>
                <c:ptCount val="12"/>
                <c:pt idx="0">
                  <c:v>52.754981818181818</c:v>
                </c:pt>
                <c:pt idx="1">
                  <c:v>99.713227272727295</c:v>
                </c:pt>
                <c:pt idx="2">
                  <c:v>96.340927272727271</c:v>
                </c:pt>
                <c:pt idx="3">
                  <c:v>95.103136363636352</c:v>
                </c:pt>
                <c:pt idx="4">
                  <c:v>59.245945454545456</c:v>
                </c:pt>
                <c:pt idx="5">
                  <c:v>104.55222727272727</c:v>
                </c:pt>
                <c:pt idx="6">
                  <c:v>349.21354545454545</c:v>
                </c:pt>
                <c:pt idx="7">
                  <c:v>312.30363636363637</c:v>
                </c:pt>
                <c:pt idx="8">
                  <c:v>148.84320909090911</c:v>
                </c:pt>
                <c:pt idx="9">
                  <c:v>31.801790909090908</c:v>
                </c:pt>
                <c:pt idx="10">
                  <c:v>14.325910909090908</c:v>
                </c:pt>
                <c:pt idx="11">
                  <c:v>32.775045454545456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D-45E7-B645-FD0CCD8DF1C5}"/>
            </c:ext>
          </c:extLst>
        </c:ser>
        <c:ser>
          <c:idx val="1"/>
          <c:order val="1"/>
          <c:tx>
            <c:strRef>
              <c:f>'GCM Cal.'!$AF$7</c:f>
              <c:strCache>
                <c:ptCount val="1"/>
                <c:pt idx="0">
                  <c:v>NCEP Rainfall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accent6">
                  <a:lumMod val="50000"/>
                </a:schemeClr>
              </a:bgClr>
            </a:pattFill>
            <a:ln w="38100" cap="rnd" cmpd="dbl">
              <a:noFill/>
              <a:prstDash val="sysDash"/>
            </a:ln>
          </c:spPr>
          <c:invertIfNegative val="0"/>
          <c:cat>
            <c:strRef>
              <c:f>'GCM Cal.'!$AD$8:$AD$19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Cal.'!$AF$8:$AF$19</c:f>
              <c:numCache>
                <c:formatCode>General</c:formatCode>
                <c:ptCount val="12"/>
                <c:pt idx="0">
                  <c:v>64.256499999999988</c:v>
                </c:pt>
                <c:pt idx="1">
                  <c:v>141.39080000000001</c:v>
                </c:pt>
                <c:pt idx="2">
                  <c:v>63.856800000000007</c:v>
                </c:pt>
                <c:pt idx="3">
                  <c:v>89.345499999999987</c:v>
                </c:pt>
                <c:pt idx="4">
                  <c:v>65.0017</c:v>
                </c:pt>
                <c:pt idx="5">
                  <c:v>111.7826</c:v>
                </c:pt>
                <c:pt idx="6">
                  <c:v>479.81700000000001</c:v>
                </c:pt>
                <c:pt idx="7">
                  <c:v>428.71139999999997</c:v>
                </c:pt>
                <c:pt idx="8">
                  <c:v>233.92409999999998</c:v>
                </c:pt>
                <c:pt idx="9">
                  <c:v>29.7317</c:v>
                </c:pt>
                <c:pt idx="10">
                  <c:v>18.262360000000001</c:v>
                </c:pt>
                <c:pt idx="11">
                  <c:v>48.252000000000002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D-45E7-B645-FD0CCD8DF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130240"/>
        <c:axId val="189111296"/>
      </c:barChart>
      <c:lineChart>
        <c:grouping val="standard"/>
        <c:varyColors val="0"/>
        <c:ser>
          <c:idx val="2"/>
          <c:order val="2"/>
          <c:tx>
            <c:strRef>
              <c:f>'GCM Cal.'!$AG$7</c:f>
              <c:strCache>
                <c:ptCount val="1"/>
                <c:pt idx="0">
                  <c:v>Obs. Tmax</c:v>
                </c:pt>
              </c:strCache>
            </c:strRef>
          </c:tx>
          <c:spPr>
            <a:ln w="28575" cmpd="sng">
              <a:solidFill>
                <a:srgbClr val="FF0000"/>
              </a:solidFill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Cal.'!$AD$8:$AD$19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Cal.'!$AG$8:$AG$19</c:f>
              <c:numCache>
                <c:formatCode>0.000</c:formatCode>
                <c:ptCount val="12"/>
                <c:pt idx="0">
                  <c:v>19.226533333333332</c:v>
                </c:pt>
                <c:pt idx="1">
                  <c:v>22.293900000000004</c:v>
                </c:pt>
                <c:pt idx="2">
                  <c:v>27.364166666666666</c:v>
                </c:pt>
                <c:pt idx="3">
                  <c:v>33.503133333333331</c:v>
                </c:pt>
                <c:pt idx="4">
                  <c:v>39.270299999999999</c:v>
                </c:pt>
                <c:pt idx="5">
                  <c:v>39.851499999999994</c:v>
                </c:pt>
                <c:pt idx="6">
                  <c:v>36.658099999999997</c:v>
                </c:pt>
                <c:pt idx="7">
                  <c:v>35.727033333333338</c:v>
                </c:pt>
                <c:pt idx="8">
                  <c:v>35.301166666666667</c:v>
                </c:pt>
                <c:pt idx="9">
                  <c:v>33.090833333333336</c:v>
                </c:pt>
                <c:pt idx="10">
                  <c:v>27.529</c:v>
                </c:pt>
                <c:pt idx="11">
                  <c:v>21.672933333333333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9D-45E7-B645-FD0CCD8DF1C5}"/>
            </c:ext>
          </c:extLst>
        </c:ser>
        <c:ser>
          <c:idx val="3"/>
          <c:order val="3"/>
          <c:tx>
            <c:strRef>
              <c:f>'GCM Cal.'!$AH$7</c:f>
              <c:strCache>
                <c:ptCount val="1"/>
                <c:pt idx="0">
                  <c:v>NCEP Tmax</c:v>
                </c:pt>
              </c:strCache>
            </c:strRef>
          </c:tx>
          <c:spPr>
            <a:ln w="28575" cmpd="sng">
              <a:solidFill>
                <a:schemeClr val="accent4">
                  <a:lumMod val="75000"/>
                </a:schemeClr>
              </a:solidFill>
              <a:prstDash val="sysDash"/>
            </a:ln>
          </c:spPr>
          <c:marker>
            <c:symbol val="triangle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Cal.'!$AD$8:$AD$19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Cal.'!$AH$8:$AH$19</c:f>
              <c:numCache>
                <c:formatCode>0.000</c:formatCode>
                <c:ptCount val="12"/>
                <c:pt idx="0">
                  <c:v>19.076866666666671</c:v>
                </c:pt>
                <c:pt idx="1">
                  <c:v>22.577833333333331</c:v>
                </c:pt>
                <c:pt idx="2">
                  <c:v>27.555299999999999</c:v>
                </c:pt>
                <c:pt idx="3">
                  <c:v>33.822833333333328</c:v>
                </c:pt>
                <c:pt idx="4">
                  <c:v>39.838699999999996</c:v>
                </c:pt>
                <c:pt idx="5">
                  <c:v>40.254666666666665</c:v>
                </c:pt>
                <c:pt idx="6">
                  <c:v>36.735899999999994</c:v>
                </c:pt>
                <c:pt idx="7">
                  <c:v>36.175633333333337</c:v>
                </c:pt>
                <c:pt idx="8">
                  <c:v>35.318433333333331</c:v>
                </c:pt>
                <c:pt idx="9">
                  <c:v>32.737000000000002</c:v>
                </c:pt>
                <c:pt idx="10">
                  <c:v>27.663466666666665</c:v>
                </c:pt>
                <c:pt idx="11">
                  <c:v>21.777599999999996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9D-45E7-B645-FD0CCD8DF1C5}"/>
            </c:ext>
          </c:extLst>
        </c:ser>
        <c:ser>
          <c:idx val="4"/>
          <c:order val="4"/>
          <c:tx>
            <c:strRef>
              <c:f>'GCM Cal.'!$AI$7</c:f>
              <c:strCache>
                <c:ptCount val="1"/>
                <c:pt idx="0">
                  <c:v>Obs. Tmin</c:v>
                </c:pt>
              </c:strCache>
            </c:strRef>
          </c:tx>
          <c:spPr>
            <a:ln w="28575" cap="rnd" cmpd="sng">
              <a:solidFill>
                <a:schemeClr val="tx1"/>
              </a:solidFill>
            </a:ln>
          </c:spPr>
          <c:marker>
            <c:symbol val="square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Cal.'!$AD$8:$AD$19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Cal.'!$AI$8:$AI$19</c:f>
              <c:numCache>
                <c:formatCode>0.000</c:formatCode>
                <c:ptCount val="12"/>
                <c:pt idx="0">
                  <c:v>5.9776786021503341</c:v>
                </c:pt>
                <c:pt idx="1">
                  <c:v>8.8175575268817195</c:v>
                </c:pt>
                <c:pt idx="2">
                  <c:v>13.826187390029325</c:v>
                </c:pt>
                <c:pt idx="3">
                  <c:v>19.029004040404043</c:v>
                </c:pt>
                <c:pt idx="4">
                  <c:v>24.253697165200396</c:v>
                </c:pt>
                <c:pt idx="5">
                  <c:v>27.215982828282829</c:v>
                </c:pt>
                <c:pt idx="6">
                  <c:v>27.248158162267838</c:v>
                </c:pt>
                <c:pt idx="7">
                  <c:v>26.883088465298147</c:v>
                </c:pt>
                <c:pt idx="8">
                  <c:v>24.699094949494935</c:v>
                </c:pt>
                <c:pt idx="9">
                  <c:v>18.535036852394931</c:v>
                </c:pt>
                <c:pt idx="10">
                  <c:v>12.840601010100999</c:v>
                </c:pt>
                <c:pt idx="11">
                  <c:v>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9D-45E7-B645-FD0CCD8DF1C5}"/>
            </c:ext>
          </c:extLst>
        </c:ser>
        <c:ser>
          <c:idx val="5"/>
          <c:order val="5"/>
          <c:tx>
            <c:strRef>
              <c:f>'GCM Cal.'!$AJ$7</c:f>
              <c:strCache>
                <c:ptCount val="1"/>
                <c:pt idx="0">
                  <c:v>NCEP Tmin</c:v>
                </c:pt>
              </c:strCache>
            </c:strRef>
          </c:tx>
          <c:spPr>
            <a:ln w="28575">
              <a:solidFill>
                <a:srgbClr val="00B0F0"/>
              </a:solidFill>
              <a:prstDash val="sysDash"/>
            </a:ln>
          </c:spPr>
          <c:marker>
            <c:symbol val="square"/>
            <c:size val="7"/>
            <c:spPr>
              <a:pattFill prst="dkUpDiag">
                <a:fgClr>
                  <a:schemeClr val="tx1"/>
                </a:fgClr>
                <a:bgClr>
                  <a:srgbClr val="FFC000"/>
                </a:bgClr>
              </a:patt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strRef>
              <c:f>'GCM Cal.'!$AD$8:$AD$19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Cal.'!$AJ$8:$AJ$19</c:f>
              <c:numCache>
                <c:formatCode>0.000</c:formatCode>
                <c:ptCount val="12"/>
                <c:pt idx="0">
                  <c:v>6.0982151026392968</c:v>
                </c:pt>
                <c:pt idx="1">
                  <c:v>8.8886710752688014</c:v>
                </c:pt>
                <c:pt idx="2">
                  <c:v>13.814431964809385</c:v>
                </c:pt>
                <c:pt idx="3">
                  <c:v>18.94483429292929</c:v>
                </c:pt>
                <c:pt idx="4">
                  <c:v>24.501247165200397</c:v>
                </c:pt>
                <c:pt idx="5">
                  <c:v>26.868016515151499</c:v>
                </c:pt>
                <c:pt idx="6">
                  <c:v>27.177872825024437</c:v>
                </c:pt>
                <c:pt idx="7">
                  <c:v>27.448166666666665</c:v>
                </c:pt>
                <c:pt idx="8">
                  <c:v>24.763931969696966</c:v>
                </c:pt>
                <c:pt idx="9">
                  <c:v>18.905022385141734</c:v>
                </c:pt>
                <c:pt idx="10">
                  <c:v>12.955579999999999</c:v>
                </c:pt>
                <c:pt idx="11">
                  <c:v>7.4333617302052799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9D-45E7-B645-FD0CCD8DF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33568"/>
        <c:axId val="189131776"/>
      </c:lineChart>
      <c:valAx>
        <c:axId val="189111296"/>
        <c:scaling>
          <c:orientation val="minMax"/>
          <c:max val="50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 b="1">
                    <a:effectLst/>
                    <a:latin typeface="Arial" pitchFamily="34" charset="0"/>
                    <a:cs typeface="Arial" pitchFamily="34" charset="0"/>
                  </a:rPr>
                  <a:t>Rainfall</a:t>
                </a:r>
                <a:r>
                  <a:rPr lang="en-US" sz="1200" b="1" baseline="0">
                    <a:effectLst/>
                    <a:latin typeface="Arial" pitchFamily="34" charset="0"/>
                    <a:cs typeface="Arial" pitchFamily="34" charset="0"/>
                  </a:rPr>
                  <a:t> (mm)</a:t>
                </a:r>
                <a:endParaRPr lang="en-US" sz="1000">
                  <a:effectLst/>
                  <a:latin typeface="Arial" pitchFamily="34" charset="0"/>
                  <a:cs typeface="Arial" pitchFamily="34" charset="0"/>
                </a:endParaRPr>
              </a:p>
            </c:rich>
          </c:tx>
          <c:layout>
            <c:manualLayout>
              <c:xMode val="edge"/>
              <c:yMode val="edge"/>
              <c:x val="0.9594907407407407"/>
              <c:y val="0.35062736949547979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89130240"/>
        <c:crosses val="max"/>
        <c:crossBetween val="between"/>
        <c:majorUnit val="50"/>
        <c:minorUnit val="25"/>
      </c:valAx>
      <c:catAx>
        <c:axId val="189130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9111296"/>
        <c:crosses val="autoZero"/>
        <c:auto val="1"/>
        <c:lblAlgn val="ctr"/>
        <c:lblOffset val="100"/>
        <c:noMultiLvlLbl val="0"/>
      </c:catAx>
      <c:valAx>
        <c:axId val="189131776"/>
        <c:scaling>
          <c:orientation val="minMax"/>
          <c:max val="45"/>
          <c:min val="0"/>
        </c:scaling>
        <c:delete val="0"/>
        <c:axPos val="l"/>
        <c:numFmt formatCode="0" sourceLinked="0"/>
        <c:majorTickMark val="out"/>
        <c:minorTickMark val="out"/>
        <c:tickLblPos val="nextTo"/>
        <c:crossAx val="189133568"/>
        <c:crosses val="autoZero"/>
        <c:crossBetween val="between"/>
        <c:majorUnit val="5"/>
        <c:minorUnit val="1"/>
      </c:valAx>
      <c:catAx>
        <c:axId val="189133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131776"/>
        <c:crosses val="autoZero"/>
        <c:auto val="0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6.0665290306175595E-2"/>
          <c:y val="2.8318550706543127E-2"/>
          <c:w val="0.86284298852606267"/>
          <c:h val="5.9692024320814448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tx1"/>
      </a:solidFill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8.1597223514909334E-2"/>
          <c:y val="0.17342465177001765"/>
          <c:w val="0.83387011519393406"/>
          <c:h val="0.64957057692318199"/>
        </c:manualLayout>
      </c:layout>
      <c:lineChart>
        <c:grouping val="standard"/>
        <c:varyColors val="0"/>
        <c:ser>
          <c:idx val="0"/>
          <c:order val="0"/>
          <c:tx>
            <c:strRef>
              <c:f>'GCM Val.'!$C$6</c:f>
              <c:strCache>
                <c:ptCount val="1"/>
                <c:pt idx="0">
                  <c:v> Obs. Rain  LHR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chemeClr val="tx1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Val.'!$C$7:$C$18</c:f>
              <c:numCache>
                <c:formatCode>General</c:formatCode>
                <c:ptCount val="12"/>
                <c:pt idx="0">
                  <c:v>19.71</c:v>
                </c:pt>
                <c:pt idx="1">
                  <c:v>27.7</c:v>
                </c:pt>
                <c:pt idx="2">
                  <c:v>23.8</c:v>
                </c:pt>
                <c:pt idx="3">
                  <c:v>17.899999999999999</c:v>
                </c:pt>
                <c:pt idx="4">
                  <c:v>19.329999999999998</c:v>
                </c:pt>
                <c:pt idx="5">
                  <c:v>64.7</c:v>
                </c:pt>
                <c:pt idx="6">
                  <c:v>218.46</c:v>
                </c:pt>
                <c:pt idx="7">
                  <c:v>196</c:v>
                </c:pt>
                <c:pt idx="8">
                  <c:v>44.59</c:v>
                </c:pt>
                <c:pt idx="9">
                  <c:v>16.82</c:v>
                </c:pt>
                <c:pt idx="10">
                  <c:v>9.92</c:v>
                </c:pt>
                <c:pt idx="11">
                  <c:v>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1-4849-9BAC-5BAEB57B7E7A}"/>
            </c:ext>
          </c:extLst>
        </c:ser>
        <c:ser>
          <c:idx val="1"/>
          <c:order val="1"/>
          <c:tx>
            <c:strRef>
              <c:f>'GCM Val.'!$D$6</c:f>
              <c:strCache>
                <c:ptCount val="1"/>
                <c:pt idx="0">
                  <c:v> CanESM2 Rain LHR </c:v>
                </c:pt>
              </c:strCache>
            </c:strRef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diamond"/>
            <c:size val="7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Val.'!$D$7:$D$18</c:f>
              <c:numCache>
                <c:formatCode>General</c:formatCode>
                <c:ptCount val="12"/>
                <c:pt idx="0">
                  <c:v>36.028799999999997</c:v>
                </c:pt>
                <c:pt idx="1">
                  <c:v>53.363500000000002</c:v>
                </c:pt>
                <c:pt idx="2">
                  <c:v>44.471299999999999</c:v>
                </c:pt>
                <c:pt idx="3">
                  <c:v>24.1691</c:v>
                </c:pt>
                <c:pt idx="4">
                  <c:v>22.505199999999999</c:v>
                </c:pt>
                <c:pt idx="5">
                  <c:v>34.551400000000001</c:v>
                </c:pt>
                <c:pt idx="6">
                  <c:v>209.70400000000001</c:v>
                </c:pt>
                <c:pt idx="7">
                  <c:v>225.411</c:v>
                </c:pt>
                <c:pt idx="8">
                  <c:v>115.245</c:v>
                </c:pt>
                <c:pt idx="9">
                  <c:v>13.686199999999999</c:v>
                </c:pt>
                <c:pt idx="10">
                  <c:v>8.7556999999999992</c:v>
                </c:pt>
                <c:pt idx="11">
                  <c:v>12.839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91-4849-9BAC-5BAEB57B7E7A}"/>
            </c:ext>
          </c:extLst>
        </c:ser>
        <c:ser>
          <c:idx val="2"/>
          <c:order val="2"/>
          <c:tx>
            <c:strRef>
              <c:f>'GCM Val.'!$E$6</c:f>
              <c:strCache>
                <c:ptCount val="1"/>
                <c:pt idx="0">
                  <c:v>NCEP Rain LHR 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diamond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Val.'!$E$7:$E$18</c:f>
              <c:numCache>
                <c:formatCode>General</c:formatCode>
                <c:ptCount val="12"/>
                <c:pt idx="0">
                  <c:v>13.8429</c:v>
                </c:pt>
                <c:pt idx="1">
                  <c:v>87.5929</c:v>
                </c:pt>
                <c:pt idx="2">
                  <c:v>20.4468</c:v>
                </c:pt>
                <c:pt idx="3">
                  <c:v>22.3614</c:v>
                </c:pt>
                <c:pt idx="4">
                  <c:v>36.866999999999997</c:v>
                </c:pt>
                <c:pt idx="5">
                  <c:v>32.334000000000003</c:v>
                </c:pt>
                <c:pt idx="6">
                  <c:v>191.35300000000001</c:v>
                </c:pt>
                <c:pt idx="7">
                  <c:v>191.261</c:v>
                </c:pt>
                <c:pt idx="8">
                  <c:v>91.234800000000007</c:v>
                </c:pt>
                <c:pt idx="9">
                  <c:v>12.420999999999999</c:v>
                </c:pt>
                <c:pt idx="10">
                  <c:v>15.390499999999999</c:v>
                </c:pt>
                <c:pt idx="11">
                  <c:v>16.5764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91-4849-9BAC-5BAEB57B7E7A}"/>
            </c:ext>
          </c:extLst>
        </c:ser>
        <c:ser>
          <c:idx val="3"/>
          <c:order val="3"/>
          <c:tx>
            <c:strRef>
              <c:f>'GCM Val.'!$F$6</c:f>
              <c:strCache>
                <c:ptCount val="1"/>
                <c:pt idx="0">
                  <c:v> Obs. Rain  FSD</c:v>
                </c:pt>
              </c:strCache>
            </c:strRef>
          </c:tx>
          <c:spPr>
            <a:ln>
              <a:solidFill>
                <a:srgbClr val="FF0066"/>
              </a:solidFill>
              <a:prstDash val="solid"/>
            </a:ln>
          </c:spPr>
          <c:marker>
            <c:symbol val="triangle"/>
            <c:size val="7"/>
            <c:spPr>
              <a:solidFill>
                <a:schemeClr val="tx1"/>
              </a:solidFill>
              <a:ln>
                <a:solidFill>
                  <a:srgbClr val="FF0066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Val.'!$F$7:$F$18</c:f>
              <c:numCache>
                <c:formatCode>General</c:formatCode>
                <c:ptCount val="12"/>
                <c:pt idx="0">
                  <c:v>8.8899999999999988</c:v>
                </c:pt>
                <c:pt idx="1">
                  <c:v>19.600000000000001</c:v>
                </c:pt>
                <c:pt idx="2">
                  <c:v>25.442</c:v>
                </c:pt>
                <c:pt idx="3">
                  <c:v>18.5</c:v>
                </c:pt>
                <c:pt idx="4">
                  <c:v>10.119999999999999</c:v>
                </c:pt>
                <c:pt idx="5">
                  <c:v>81.760000000000005</c:v>
                </c:pt>
                <c:pt idx="6">
                  <c:v>72.620000000000033</c:v>
                </c:pt>
                <c:pt idx="7">
                  <c:v>75.810000000000016</c:v>
                </c:pt>
                <c:pt idx="8">
                  <c:v>43.11999999999999</c:v>
                </c:pt>
                <c:pt idx="9">
                  <c:v>8.620000000000001</c:v>
                </c:pt>
                <c:pt idx="10">
                  <c:v>3</c:v>
                </c:pt>
                <c:pt idx="11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91-4849-9BAC-5BAEB57B7E7A}"/>
            </c:ext>
          </c:extLst>
        </c:ser>
        <c:ser>
          <c:idx val="4"/>
          <c:order val="4"/>
          <c:tx>
            <c:strRef>
              <c:f>'GCM Val.'!$G$6</c:f>
              <c:strCache>
                <c:ptCount val="1"/>
                <c:pt idx="0">
                  <c:v> CanESM2 Rain FSD</c:v>
                </c:pt>
              </c:strCache>
            </c:strRef>
          </c:tx>
          <c:spPr>
            <a:ln>
              <a:solidFill>
                <a:srgbClr val="FF0066"/>
              </a:solidFill>
              <a:prstDash val="sysDash"/>
            </a:ln>
          </c:spPr>
          <c:marker>
            <c:symbol val="triangle"/>
            <c:size val="7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Val.'!$G$7:$G$18</c:f>
              <c:numCache>
                <c:formatCode>General</c:formatCode>
                <c:ptCount val="12"/>
                <c:pt idx="0">
                  <c:v>21.302100000000003</c:v>
                </c:pt>
                <c:pt idx="1">
                  <c:v>40.285899999999998</c:v>
                </c:pt>
                <c:pt idx="2">
                  <c:v>30.095300000000002</c:v>
                </c:pt>
                <c:pt idx="3">
                  <c:v>24.170299999999997</c:v>
                </c:pt>
                <c:pt idx="4">
                  <c:v>16.329799999999999</c:v>
                </c:pt>
                <c:pt idx="5">
                  <c:v>41.705699999999993</c:v>
                </c:pt>
                <c:pt idx="6">
                  <c:v>110.0633</c:v>
                </c:pt>
                <c:pt idx="7">
                  <c:v>16.442799999999998</c:v>
                </c:pt>
                <c:pt idx="8">
                  <c:v>56.429700000000011</c:v>
                </c:pt>
                <c:pt idx="9">
                  <c:v>0.3206</c:v>
                </c:pt>
                <c:pt idx="10">
                  <c:v>2.2894999999999999</c:v>
                </c:pt>
                <c:pt idx="11">
                  <c:v>21.762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91-4849-9BAC-5BAEB57B7E7A}"/>
            </c:ext>
          </c:extLst>
        </c:ser>
        <c:ser>
          <c:idx val="5"/>
          <c:order val="5"/>
          <c:tx>
            <c:strRef>
              <c:f>'GCM Val.'!$H$6</c:f>
              <c:strCache>
                <c:ptCount val="1"/>
                <c:pt idx="0">
                  <c:v>NCEP Rain FSD</c:v>
                </c:pt>
              </c:strCache>
            </c:strRef>
          </c:tx>
          <c:spPr>
            <a:ln>
              <a:solidFill>
                <a:srgbClr val="FF0066"/>
              </a:solidFill>
              <a:prstDash val="sysDot"/>
            </a:ln>
          </c:spPr>
          <c:marker>
            <c:symbol val="triangle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Val.'!$H$7:$H$18</c:f>
              <c:numCache>
                <c:formatCode>General</c:formatCode>
                <c:ptCount val="12"/>
                <c:pt idx="0">
                  <c:v>14.930000000000001</c:v>
                </c:pt>
                <c:pt idx="1">
                  <c:v>43.622899999999994</c:v>
                </c:pt>
                <c:pt idx="2">
                  <c:v>13.887900000000002</c:v>
                </c:pt>
                <c:pt idx="3">
                  <c:v>43.832800000000006</c:v>
                </c:pt>
                <c:pt idx="4">
                  <c:v>9.6566999999999972</c:v>
                </c:pt>
                <c:pt idx="5">
                  <c:v>19.850100000000001</c:v>
                </c:pt>
                <c:pt idx="6">
                  <c:v>52.88630000000002</c:v>
                </c:pt>
                <c:pt idx="7">
                  <c:v>76.379499999999993</c:v>
                </c:pt>
                <c:pt idx="8">
                  <c:v>34.368599999999994</c:v>
                </c:pt>
                <c:pt idx="9">
                  <c:v>4.7638000000000007</c:v>
                </c:pt>
                <c:pt idx="10">
                  <c:v>0.62780000000000002</c:v>
                </c:pt>
                <c:pt idx="11">
                  <c:v>13.072399999999998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91-4849-9BAC-5BAEB57B7E7A}"/>
            </c:ext>
          </c:extLst>
        </c:ser>
        <c:ser>
          <c:idx val="6"/>
          <c:order val="6"/>
          <c:tx>
            <c:strRef>
              <c:f>'GCM Val.'!$I$6</c:f>
              <c:strCache>
                <c:ptCount val="1"/>
                <c:pt idx="0">
                  <c:v> Obs. Rain  SGD</c:v>
                </c:pt>
              </c:strCache>
            </c:strRef>
          </c:tx>
          <c:spPr>
            <a:ln>
              <a:solidFill>
                <a:srgbClr val="000099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rgbClr val="FFFF00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Val.'!$I$7:$I$18</c:f>
              <c:numCache>
                <c:formatCode>General</c:formatCode>
                <c:ptCount val="12"/>
                <c:pt idx="0">
                  <c:v>20.57</c:v>
                </c:pt>
                <c:pt idx="1">
                  <c:v>29.740000000000002</c:v>
                </c:pt>
                <c:pt idx="2">
                  <c:v>28.080000000000002</c:v>
                </c:pt>
                <c:pt idx="3">
                  <c:v>22.7</c:v>
                </c:pt>
                <c:pt idx="4">
                  <c:v>31.96</c:v>
                </c:pt>
                <c:pt idx="5">
                  <c:v>60.089999999999989</c:v>
                </c:pt>
                <c:pt idx="6">
                  <c:v>152.70999999999998</c:v>
                </c:pt>
                <c:pt idx="7">
                  <c:v>88.669999999999973</c:v>
                </c:pt>
                <c:pt idx="8">
                  <c:v>43.95</c:v>
                </c:pt>
                <c:pt idx="9">
                  <c:v>7.05</c:v>
                </c:pt>
                <c:pt idx="10">
                  <c:v>4.6500000000000004</c:v>
                </c:pt>
                <c:pt idx="11">
                  <c:v>18.900000000000002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91-4849-9BAC-5BAEB57B7E7A}"/>
            </c:ext>
          </c:extLst>
        </c:ser>
        <c:ser>
          <c:idx val="7"/>
          <c:order val="7"/>
          <c:tx>
            <c:strRef>
              <c:f>'GCM Val.'!$J$6</c:f>
              <c:strCache>
                <c:ptCount val="1"/>
                <c:pt idx="0">
                  <c:v> CanESM2 Rain SGD</c:v>
                </c:pt>
              </c:strCache>
            </c:strRef>
          </c:tx>
          <c:spPr>
            <a:ln>
              <a:solidFill>
                <a:srgbClr val="000099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Val.'!$J$7:$J$18</c:f>
              <c:numCache>
                <c:formatCode>General</c:formatCode>
                <c:ptCount val="12"/>
                <c:pt idx="0">
                  <c:v>36.783300000000018</c:v>
                </c:pt>
                <c:pt idx="1">
                  <c:v>21.327400000000001</c:v>
                </c:pt>
                <c:pt idx="2">
                  <c:v>38.270899999999983</c:v>
                </c:pt>
                <c:pt idx="3">
                  <c:v>62.748299999999993</c:v>
                </c:pt>
                <c:pt idx="4">
                  <c:v>0</c:v>
                </c:pt>
                <c:pt idx="5">
                  <c:v>76.820299999999989</c:v>
                </c:pt>
                <c:pt idx="6">
                  <c:v>172.27359999999999</c:v>
                </c:pt>
                <c:pt idx="7">
                  <c:v>243.48610000000008</c:v>
                </c:pt>
                <c:pt idx="8">
                  <c:v>5.7767999999999997</c:v>
                </c:pt>
                <c:pt idx="9">
                  <c:v>6.1181999999999999</c:v>
                </c:pt>
                <c:pt idx="10">
                  <c:v>5.9873999999999992</c:v>
                </c:pt>
                <c:pt idx="11">
                  <c:v>9.4460000000000015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091-4849-9BAC-5BAEB57B7E7A}"/>
            </c:ext>
          </c:extLst>
        </c:ser>
        <c:ser>
          <c:idx val="8"/>
          <c:order val="8"/>
          <c:tx>
            <c:strRef>
              <c:f>'GCM Val.'!$K$6</c:f>
              <c:strCache>
                <c:ptCount val="1"/>
                <c:pt idx="0">
                  <c:v>NCEP Rain SGD</c:v>
                </c:pt>
              </c:strCache>
            </c:strRef>
          </c:tx>
          <c:spPr>
            <a:ln>
              <a:solidFill>
                <a:srgbClr val="000099"/>
              </a:solidFill>
              <a:prstDash val="sysDot"/>
            </a:ln>
          </c:spPr>
          <c:marker>
            <c:symbol val="circle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Val.'!$K$7:$K$18</c:f>
              <c:numCache>
                <c:formatCode>General</c:formatCode>
                <c:ptCount val="12"/>
                <c:pt idx="0">
                  <c:v>46.836500000000015</c:v>
                </c:pt>
                <c:pt idx="1">
                  <c:v>70.271800000000013</c:v>
                </c:pt>
                <c:pt idx="2">
                  <c:v>81.419499999999971</c:v>
                </c:pt>
                <c:pt idx="3">
                  <c:v>64.79819999999998</c:v>
                </c:pt>
                <c:pt idx="4">
                  <c:v>42.075499999999998</c:v>
                </c:pt>
                <c:pt idx="5">
                  <c:v>71.710999999999984</c:v>
                </c:pt>
                <c:pt idx="6">
                  <c:v>160.4836</c:v>
                </c:pt>
                <c:pt idx="7">
                  <c:v>56.97529999999999</c:v>
                </c:pt>
                <c:pt idx="8">
                  <c:v>0</c:v>
                </c:pt>
                <c:pt idx="9">
                  <c:v>0</c:v>
                </c:pt>
                <c:pt idx="10">
                  <c:v>41.606200000000001</c:v>
                </c:pt>
                <c:pt idx="11">
                  <c:v>31.4404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091-4849-9BAC-5BAEB57B7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98336"/>
        <c:axId val="189171200"/>
      </c:lineChart>
      <c:valAx>
        <c:axId val="189171200"/>
        <c:scaling>
          <c:orientation val="minMax"/>
          <c:max val="27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Rainfall (mm)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89198336"/>
        <c:crosses val="autoZero"/>
        <c:crossBetween val="between"/>
        <c:majorUnit val="25"/>
        <c:minorUnit val="25"/>
      </c:valAx>
      <c:catAx>
        <c:axId val="189198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1400"/>
            </a:pPr>
            <a:endParaRPr lang="en-US"/>
          </a:p>
        </c:txPr>
        <c:crossAx val="189171200"/>
        <c:crosses val="autoZero"/>
        <c:auto val="0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0033913637868314"/>
          <c:y val="5.6783854775386521E-2"/>
          <c:w val="0.79799438311425686"/>
          <c:h val="0.10709240939167676"/>
        </c:manualLayout>
      </c:layout>
      <c:overlay val="0"/>
      <c:spPr>
        <a:noFill/>
        <a:ln>
          <a:solidFill>
            <a:schemeClr val="bg1"/>
          </a:solidFill>
        </a:ln>
      </c:spPr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tx1"/>
      </a:solidFill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7.6967592592592587E-2"/>
          <c:y val="0.17342465004374452"/>
          <c:w val="0.83387011519393406"/>
          <c:h val="0.649570576923181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'GCM Val.'!$C$119</c:f>
              <c:strCache>
                <c:ptCount val="1"/>
                <c:pt idx="0">
                  <c:v> Rain Obs.  </c:v>
                </c:pt>
              </c:strCache>
            </c:strRef>
          </c:tx>
          <c:spPr>
            <a:solidFill>
              <a:srgbClr val="00FFFF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'GCM Val.'!$B$120:$B$131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Val.'!$C$120:$C$131</c:f>
              <c:numCache>
                <c:formatCode>General</c:formatCode>
                <c:ptCount val="12"/>
                <c:pt idx="0">
                  <c:v>16.39</c:v>
                </c:pt>
                <c:pt idx="1">
                  <c:v>25.679999999999996</c:v>
                </c:pt>
                <c:pt idx="2">
                  <c:v>25.774000000000001</c:v>
                </c:pt>
                <c:pt idx="3">
                  <c:v>19.7</c:v>
                </c:pt>
                <c:pt idx="4">
                  <c:v>20.47</c:v>
                </c:pt>
                <c:pt idx="5">
                  <c:v>68.850000000000009</c:v>
                </c:pt>
                <c:pt idx="6">
                  <c:v>147.93</c:v>
                </c:pt>
                <c:pt idx="7">
                  <c:v>120.15999999999998</c:v>
                </c:pt>
                <c:pt idx="8">
                  <c:v>43.886666666666663</c:v>
                </c:pt>
                <c:pt idx="9">
                  <c:v>10.83</c:v>
                </c:pt>
                <c:pt idx="10">
                  <c:v>5.8566666666666665</c:v>
                </c:pt>
                <c:pt idx="11">
                  <c:v>8.2133333333333329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B-4C60-A898-4A04FBC626EF}"/>
            </c:ext>
          </c:extLst>
        </c:ser>
        <c:ser>
          <c:idx val="1"/>
          <c:order val="1"/>
          <c:tx>
            <c:strRef>
              <c:f>'GCM Val.'!$D$119</c:f>
              <c:strCache>
                <c:ptCount val="1"/>
                <c:pt idx="0">
                  <c:v> Rain CanESM2 </c:v>
                </c:pt>
              </c:strCache>
            </c:strRef>
          </c:tx>
          <c:spPr>
            <a:pattFill prst="pct60">
              <a:fgClr>
                <a:srgbClr val="00FFFF"/>
              </a:fgClr>
              <a:bgClr>
                <a:sysClr val="windowText" lastClr="000000"/>
              </a:bgClr>
            </a:pattFill>
            <a:ln cmpd="sng">
              <a:solidFill>
                <a:sysClr val="windowText" lastClr="000000"/>
              </a:solidFill>
            </a:ln>
          </c:spPr>
          <c:invertIfNegative val="0"/>
          <c:cat>
            <c:strRef>
              <c:f>'GCM Val.'!$B$120:$B$131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Val.'!$D$120:$D$131</c:f>
              <c:numCache>
                <c:formatCode>General</c:formatCode>
                <c:ptCount val="12"/>
                <c:pt idx="0">
                  <c:v>31.371400000000005</c:v>
                </c:pt>
                <c:pt idx="1">
                  <c:v>38.325600000000001</c:v>
                </c:pt>
                <c:pt idx="2">
                  <c:v>37.61249999999999</c:v>
                </c:pt>
                <c:pt idx="3">
                  <c:v>37.02923333333333</c:v>
                </c:pt>
                <c:pt idx="4">
                  <c:v>12.944999999999999</c:v>
                </c:pt>
                <c:pt idx="5">
                  <c:v>51.025799999999997</c:v>
                </c:pt>
                <c:pt idx="6">
                  <c:v>164.01363333333333</c:v>
                </c:pt>
                <c:pt idx="7">
                  <c:v>161.7799666666667</c:v>
                </c:pt>
                <c:pt idx="8">
                  <c:v>59.150500000000015</c:v>
                </c:pt>
                <c:pt idx="9">
                  <c:v>6.708333333333333</c:v>
                </c:pt>
                <c:pt idx="10">
                  <c:v>5.6775333333333329</c:v>
                </c:pt>
                <c:pt idx="11">
                  <c:v>14.682333333333332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DB-4C60-A898-4A04FBC626EF}"/>
            </c:ext>
          </c:extLst>
        </c:ser>
        <c:ser>
          <c:idx val="2"/>
          <c:order val="2"/>
          <c:tx>
            <c:strRef>
              <c:f>'GCM Val.'!$E$119</c:f>
              <c:strCache>
                <c:ptCount val="1"/>
                <c:pt idx="0">
                  <c:v>Rain NCEP </c:v>
                </c:pt>
              </c:strCache>
            </c:strRef>
          </c:tx>
          <c:spPr>
            <a:pattFill prst="lgCheck">
              <a:fgClr>
                <a:sysClr val="windowText" lastClr="000000"/>
              </a:fgClr>
              <a:bgClr>
                <a:srgbClr val="00FFFF"/>
              </a:bgClr>
            </a:pattFill>
          </c:spPr>
          <c:invertIfNegative val="0"/>
          <c:cat>
            <c:strRef>
              <c:f>'GCM Val.'!$B$120:$B$131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Val.'!$E$120:$E$131</c:f>
              <c:numCache>
                <c:formatCode>0.000</c:formatCode>
                <c:ptCount val="12"/>
                <c:pt idx="0">
                  <c:v>25.203133333333341</c:v>
                </c:pt>
                <c:pt idx="1">
                  <c:v>67.162533333333343</c:v>
                </c:pt>
                <c:pt idx="2">
                  <c:v>38.584733333333325</c:v>
                </c:pt>
                <c:pt idx="3">
                  <c:v>43.664133333333325</c:v>
                </c:pt>
                <c:pt idx="4">
                  <c:v>29.533066666666667</c:v>
                </c:pt>
                <c:pt idx="5">
                  <c:v>41.298366666666659</c:v>
                </c:pt>
                <c:pt idx="6">
                  <c:v>134.90763333333334</c:v>
                </c:pt>
                <c:pt idx="7">
                  <c:v>108.20526666666666</c:v>
                </c:pt>
                <c:pt idx="8">
                  <c:v>41.867799999999995</c:v>
                </c:pt>
                <c:pt idx="9">
                  <c:v>5.7282666666666664</c:v>
                </c:pt>
                <c:pt idx="10">
                  <c:v>19.208166666666667</c:v>
                </c:pt>
                <c:pt idx="11">
                  <c:v>20.363066666666665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DB-4C60-A898-4A04FBC62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9637376"/>
        <c:axId val="189614720"/>
      </c:barChart>
      <c:lineChart>
        <c:grouping val="standard"/>
        <c:varyColors val="0"/>
        <c:ser>
          <c:idx val="3"/>
          <c:order val="3"/>
          <c:tx>
            <c:strRef>
              <c:f>'GCM Val.'!$F$119</c:f>
              <c:strCache>
                <c:ptCount val="1"/>
                <c:pt idx="0">
                  <c:v>Tmax Obs.  </c:v>
                </c:pt>
              </c:strCache>
            </c:strRef>
          </c:tx>
          <c:spPr>
            <a:ln w="28575">
              <a:solidFill>
                <a:srgbClr val="00FF00"/>
              </a:solidFill>
            </a:ln>
          </c:spPr>
          <c:marker>
            <c:symbol val="triangle"/>
            <c:size val="9"/>
            <c:spPr>
              <a:solidFill>
                <a:sysClr val="windowText" lastClr="000000"/>
              </a:solidFill>
            </c:spPr>
          </c:marker>
          <c:cat>
            <c:strRef>
              <c:f>'GCM Val.'!$B$120:$B$131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Val.'!$F$120:$F$131</c:f>
              <c:numCache>
                <c:formatCode>0.000</c:formatCode>
                <c:ptCount val="12"/>
                <c:pt idx="0">
                  <c:v>18.688421863799274</c:v>
                </c:pt>
                <c:pt idx="1">
                  <c:v>22.62483564978406</c:v>
                </c:pt>
                <c:pt idx="2">
                  <c:v>27.988314336917558</c:v>
                </c:pt>
                <c:pt idx="3">
                  <c:v>35.045666666666669</c:v>
                </c:pt>
                <c:pt idx="4">
                  <c:v>39.051326164874553</c:v>
                </c:pt>
                <c:pt idx="5">
                  <c:v>39.290159259259262</c:v>
                </c:pt>
                <c:pt idx="6">
                  <c:v>36.563235483870976</c:v>
                </c:pt>
                <c:pt idx="7">
                  <c:v>36.138040501792119</c:v>
                </c:pt>
                <c:pt idx="8">
                  <c:v>35.532333333333334</c:v>
                </c:pt>
                <c:pt idx="9">
                  <c:v>32.536258422939056</c:v>
                </c:pt>
                <c:pt idx="10">
                  <c:v>26.813196296296294</c:v>
                </c:pt>
                <c:pt idx="11">
                  <c:v>21.388266666666663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DB-4C60-A898-4A04FBC626EF}"/>
            </c:ext>
          </c:extLst>
        </c:ser>
        <c:ser>
          <c:idx val="4"/>
          <c:order val="4"/>
          <c:tx>
            <c:strRef>
              <c:f>'GCM Val.'!$G$119</c:f>
              <c:strCache>
                <c:ptCount val="1"/>
                <c:pt idx="0">
                  <c:v>Tmax CanESM2 </c:v>
                </c:pt>
              </c:strCache>
            </c:strRef>
          </c:tx>
          <c:spPr>
            <a:ln w="28575" cap="rnd" cmpd="sng">
              <a:solidFill>
                <a:srgbClr val="FF0066"/>
              </a:solidFill>
              <a:prstDash val="solid"/>
              <a:round/>
            </a:ln>
          </c:spPr>
          <c:marker>
            <c:symbol val="diamond"/>
            <c:size val="9"/>
            <c:spPr>
              <a:solidFill>
                <a:srgbClr val="000099"/>
              </a:solidFill>
            </c:spPr>
          </c:marker>
          <c:cat>
            <c:strRef>
              <c:f>'GCM Val.'!$B$120:$B$131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Val.'!$G$120:$G$131</c:f>
              <c:numCache>
                <c:formatCode>0.000</c:formatCode>
                <c:ptCount val="12"/>
                <c:pt idx="0">
                  <c:v>19.186885215053763</c:v>
                </c:pt>
                <c:pt idx="1">
                  <c:v>22.224180367659432</c:v>
                </c:pt>
                <c:pt idx="2">
                  <c:v>27.152544498207877</c:v>
                </c:pt>
                <c:pt idx="3">
                  <c:v>33.552795629629621</c:v>
                </c:pt>
                <c:pt idx="4">
                  <c:v>39.600084086021504</c:v>
                </c:pt>
                <c:pt idx="5">
                  <c:v>41.572628018518515</c:v>
                </c:pt>
                <c:pt idx="6">
                  <c:v>36.963893189964153</c:v>
                </c:pt>
                <c:pt idx="7">
                  <c:v>36.062497275985663</c:v>
                </c:pt>
                <c:pt idx="8">
                  <c:v>35.245525185185187</c:v>
                </c:pt>
                <c:pt idx="9">
                  <c:v>31.845528118279578</c:v>
                </c:pt>
                <c:pt idx="10">
                  <c:v>27.483591500000003</c:v>
                </c:pt>
                <c:pt idx="11">
                  <c:v>22.340510138754027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DB-4C60-A898-4A04FBC626EF}"/>
            </c:ext>
          </c:extLst>
        </c:ser>
        <c:ser>
          <c:idx val="5"/>
          <c:order val="5"/>
          <c:tx>
            <c:strRef>
              <c:f>'GCM Val.'!$H$119</c:f>
              <c:strCache>
                <c:ptCount val="1"/>
                <c:pt idx="0">
                  <c:v>Tmax NCEP </c:v>
                </c:pt>
              </c:strCache>
            </c:strRef>
          </c:tx>
          <c:spPr>
            <a:ln w="28575" cap="rnd" cmpd="sng">
              <a:solidFill>
                <a:sysClr val="windowText" lastClr="000000"/>
              </a:solidFill>
              <a:prstDash val="sysDash"/>
            </a:ln>
          </c:spPr>
          <c:marker>
            <c:symbol val="circle"/>
            <c:size val="9"/>
            <c:spPr>
              <a:pattFill prst="dkUpDiag">
                <a:fgClr>
                  <a:sysClr val="windowText" lastClr="000000"/>
                </a:fgClr>
                <a:bgClr>
                  <a:sysClr val="window" lastClr="FFFFFF"/>
                </a:bgClr>
              </a:pattFill>
              <a:ln cap="sq">
                <a:solidFill>
                  <a:srgbClr val="F79646">
                    <a:lumMod val="50000"/>
                  </a:srgbClr>
                </a:solidFill>
                <a:prstDash val="sysDot"/>
              </a:ln>
            </c:spPr>
          </c:marker>
          <c:cat>
            <c:strRef>
              <c:f>'GCM Val.'!$B$120:$B$131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Val.'!$H$120:$H$131</c:f>
              <c:numCache>
                <c:formatCode>0.000</c:formatCode>
                <c:ptCount val="12"/>
                <c:pt idx="0">
                  <c:v>19.664592795698923</c:v>
                </c:pt>
                <c:pt idx="1">
                  <c:v>22.373933556284701</c:v>
                </c:pt>
                <c:pt idx="2">
                  <c:v>26.811989784946238</c:v>
                </c:pt>
                <c:pt idx="3">
                  <c:v>32.827886870370378</c:v>
                </c:pt>
                <c:pt idx="4">
                  <c:v>39.687109426523286</c:v>
                </c:pt>
                <c:pt idx="5">
                  <c:v>41.239789814814827</c:v>
                </c:pt>
                <c:pt idx="6">
                  <c:v>36.666344659498208</c:v>
                </c:pt>
                <c:pt idx="7">
                  <c:v>36.027024784946235</c:v>
                </c:pt>
                <c:pt idx="8">
                  <c:v>35.303723129629631</c:v>
                </c:pt>
                <c:pt idx="9">
                  <c:v>33.237406756272399</c:v>
                </c:pt>
                <c:pt idx="10">
                  <c:v>28.064474888888881</c:v>
                </c:pt>
                <c:pt idx="11">
                  <c:v>22.356081915225172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DB-4C60-A898-4A04FBC626EF}"/>
            </c:ext>
          </c:extLst>
        </c:ser>
        <c:ser>
          <c:idx val="6"/>
          <c:order val="6"/>
          <c:tx>
            <c:strRef>
              <c:f>'GCM Val.'!$I$119</c:f>
              <c:strCache>
                <c:ptCount val="1"/>
                <c:pt idx="0">
                  <c:v>Tmin Obs.  </c:v>
                </c:pt>
              </c:strCache>
            </c:strRef>
          </c:tx>
          <c:spPr>
            <a:ln w="28575" cmpd="sng">
              <a:solidFill>
                <a:srgbClr val="000099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FF00"/>
              </a:solidFill>
              <a:ln cap="sq">
                <a:solidFill>
                  <a:srgbClr val="C00000"/>
                </a:solidFill>
              </a:ln>
            </c:spPr>
          </c:marker>
          <c:cat>
            <c:strRef>
              <c:f>'GCM Val.'!$B$120:$B$131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Val.'!$I$120:$I$131</c:f>
              <c:numCache>
                <c:formatCode>General</c:formatCode>
                <c:ptCount val="12"/>
                <c:pt idx="0">
                  <c:v>6.8436533333333331</c:v>
                </c:pt>
                <c:pt idx="1">
                  <c:v>9.8339366666666663</c:v>
                </c:pt>
                <c:pt idx="2">
                  <c:v>15.124633333333335</c:v>
                </c:pt>
                <c:pt idx="3">
                  <c:v>20.812566666666669</c:v>
                </c:pt>
                <c:pt idx="4">
                  <c:v>25.189066666666665</c:v>
                </c:pt>
                <c:pt idx="5">
                  <c:v>27.294033333333331</c:v>
                </c:pt>
                <c:pt idx="6">
                  <c:v>27.445733333333333</c:v>
                </c:pt>
                <c:pt idx="7">
                  <c:v>27.107966666666666</c:v>
                </c:pt>
                <c:pt idx="8">
                  <c:v>25.163766666666664</c:v>
                </c:pt>
                <c:pt idx="9">
                  <c:v>19.553333333333335</c:v>
                </c:pt>
                <c:pt idx="10">
                  <c:v>12.964233333333333</c:v>
                </c:pt>
                <c:pt idx="11">
                  <c:v>8.088493333333334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DB-4C60-A898-4A04FBC626EF}"/>
            </c:ext>
          </c:extLst>
        </c:ser>
        <c:ser>
          <c:idx val="7"/>
          <c:order val="7"/>
          <c:tx>
            <c:strRef>
              <c:f>'GCM Val.'!$J$119</c:f>
              <c:strCache>
                <c:ptCount val="1"/>
                <c:pt idx="0">
                  <c:v>Tmin CanESM2 </c:v>
                </c:pt>
              </c:strCache>
            </c:strRef>
          </c:tx>
          <c:spPr>
            <a:ln cap="sq" cmpd="sng">
              <a:solidFill>
                <a:sysClr val="windowText" lastClr="000000">
                  <a:lumMod val="95000"/>
                  <a:lumOff val="5000"/>
                  <a:alpha val="99000"/>
                </a:sysClr>
              </a:solidFill>
              <a:prstDash val="solid"/>
            </a:ln>
          </c:spPr>
          <c:marker>
            <c:symbol val="diamond"/>
            <c:size val="9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cat>
            <c:strRef>
              <c:f>'GCM Val.'!$B$120:$B$131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Val.'!$J$120:$J$131</c:f>
              <c:numCache>
                <c:formatCode>General</c:formatCode>
                <c:ptCount val="12"/>
                <c:pt idx="0">
                  <c:v>6.4890633333333341</c:v>
                </c:pt>
                <c:pt idx="1">
                  <c:v>9.1778633333333346</c:v>
                </c:pt>
                <c:pt idx="2">
                  <c:v>13.748833333333332</c:v>
                </c:pt>
                <c:pt idx="3">
                  <c:v>18.845766666666666</c:v>
                </c:pt>
                <c:pt idx="4">
                  <c:v>24.0183</c:v>
                </c:pt>
                <c:pt idx="5">
                  <c:v>27.191933333333335</c:v>
                </c:pt>
                <c:pt idx="6">
                  <c:v>27.105433333333334</c:v>
                </c:pt>
                <c:pt idx="7">
                  <c:v>26.764433333333333</c:v>
                </c:pt>
                <c:pt idx="8">
                  <c:v>24.498566666666665</c:v>
                </c:pt>
                <c:pt idx="9">
                  <c:v>17.902666666666665</c:v>
                </c:pt>
                <c:pt idx="10">
                  <c:v>12.529933333333332</c:v>
                </c:pt>
                <c:pt idx="11">
                  <c:v>7.5427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DB-4C60-A898-4A04FBC626EF}"/>
            </c:ext>
          </c:extLst>
        </c:ser>
        <c:ser>
          <c:idx val="8"/>
          <c:order val="8"/>
          <c:tx>
            <c:strRef>
              <c:f>'GCM Val.'!$K$119</c:f>
              <c:strCache>
                <c:ptCount val="1"/>
                <c:pt idx="0">
                  <c:v> Tmin NCEP </c:v>
                </c:pt>
              </c:strCache>
            </c:strRef>
          </c:tx>
          <c:spPr>
            <a:ln w="28575" cap="sq">
              <a:solidFill>
                <a:srgbClr val="990099"/>
              </a:solidFill>
              <a:prstDash val="sysDash"/>
            </a:ln>
          </c:spPr>
          <c:marker>
            <c:symbol val="circle"/>
            <c:size val="9"/>
            <c:spPr>
              <a:solidFill>
                <a:srgbClr val="FF0000"/>
              </a:solidFill>
              <a:ln w="9525" cap="sq">
                <a:solidFill>
                  <a:srgbClr val="F79646">
                    <a:lumMod val="50000"/>
                  </a:srgbClr>
                </a:solidFill>
                <a:prstDash val="sysDash"/>
              </a:ln>
            </c:spPr>
          </c:marker>
          <c:cat>
            <c:strRef>
              <c:f>'GCM Val.'!$B$120:$B$131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Val.'!$K$120:$K$131</c:f>
              <c:numCache>
                <c:formatCode>General</c:formatCode>
                <c:ptCount val="12"/>
                <c:pt idx="0">
                  <c:v>7.3543533333333331</c:v>
                </c:pt>
                <c:pt idx="1">
                  <c:v>9.0962733333333343</c:v>
                </c:pt>
                <c:pt idx="2">
                  <c:v>13.144533333333333</c:v>
                </c:pt>
                <c:pt idx="3">
                  <c:v>18.408266666666666</c:v>
                </c:pt>
                <c:pt idx="4">
                  <c:v>24.29976666666667</c:v>
                </c:pt>
                <c:pt idx="5">
                  <c:v>27.117566666666665</c:v>
                </c:pt>
                <c:pt idx="6">
                  <c:v>27.3492</c:v>
                </c:pt>
                <c:pt idx="7">
                  <c:v>26.963666666666665</c:v>
                </c:pt>
                <c:pt idx="8">
                  <c:v>24.1173</c:v>
                </c:pt>
                <c:pt idx="9">
                  <c:v>17.194199999999999</c:v>
                </c:pt>
                <c:pt idx="10">
                  <c:v>12.741666666666665</c:v>
                </c:pt>
                <c:pt idx="11">
                  <c:v>7.8463566666666678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DB-4C60-A898-4A04FBC62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613184"/>
        <c:axId val="189295232"/>
      </c:lineChart>
      <c:valAx>
        <c:axId val="189295232"/>
        <c:scaling>
          <c:orientation val="minMax"/>
          <c:max val="4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 b="1" i="0" u="none" strike="noStrike" baseline="0">
                    <a:effectLst/>
                  </a:rPr>
                  <a:t>Temperature (°C)</a:t>
                </a:r>
                <a:endParaRPr lang="en-US" sz="1400"/>
              </a:p>
            </c:rich>
          </c:tx>
          <c:overlay val="0"/>
        </c:title>
        <c:numFmt formatCode="0" sourceLinked="0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89613184"/>
        <c:crosses val="autoZero"/>
        <c:crossBetween val="between"/>
        <c:majorUnit val="5"/>
        <c:minorUnit val="1"/>
      </c:valAx>
      <c:catAx>
        <c:axId val="189613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1400"/>
            </a:pPr>
            <a:endParaRPr lang="en-US"/>
          </a:p>
        </c:txPr>
        <c:crossAx val="189295232"/>
        <c:crosses val="autoZero"/>
        <c:auto val="0"/>
        <c:lblAlgn val="ctr"/>
        <c:lblOffset val="100"/>
        <c:noMultiLvlLbl val="0"/>
      </c:catAx>
      <c:valAx>
        <c:axId val="189614720"/>
        <c:scaling>
          <c:orientation val="minMax"/>
          <c:max val="175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Rainfall 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7376"/>
        <c:crosses val="max"/>
        <c:crossBetween val="between"/>
        <c:majorUnit val="25"/>
        <c:minorUnit val="25"/>
      </c:valAx>
      <c:catAx>
        <c:axId val="189637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614720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9.4875328083989519E-2"/>
          <c:y val="5.6783866101659745E-2"/>
          <c:w val="0.81419856372120147"/>
          <c:h val="9.1227307524059498E-2"/>
        </c:manualLayout>
      </c:layout>
      <c:overlay val="0"/>
      <c:spPr>
        <a:noFill/>
        <a:ln>
          <a:solidFill>
            <a:schemeClr val="bg1"/>
          </a:solidFill>
        </a:ln>
      </c:spPr>
      <c:txPr>
        <a:bodyPr/>
        <a:lstStyle/>
        <a:p>
          <a:pPr>
            <a:defRPr sz="16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tx1"/>
      </a:solidFill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8.1597259392101745E-2"/>
          <c:y val="0.19885753681391163"/>
          <c:w val="0.83387011519393406"/>
          <c:h val="0.64957057692318199"/>
        </c:manualLayout>
      </c:layout>
      <c:lineChart>
        <c:grouping val="standard"/>
        <c:varyColors val="0"/>
        <c:ser>
          <c:idx val="0"/>
          <c:order val="0"/>
          <c:tx>
            <c:strRef>
              <c:f>'GCM Val.'!$C$48</c:f>
              <c:strCache>
                <c:ptCount val="1"/>
                <c:pt idx="0">
                  <c:v> Obs. Tmax  LHR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chemeClr val="tx1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Val.'!$C$49:$C$60</c:f>
              <c:numCache>
                <c:formatCode>General</c:formatCode>
                <c:ptCount val="12"/>
                <c:pt idx="0">
                  <c:v>18.142900000000001</c:v>
                </c:pt>
                <c:pt idx="1">
                  <c:v>22.128599999999999</c:v>
                </c:pt>
                <c:pt idx="2">
                  <c:v>27.6829</c:v>
                </c:pt>
                <c:pt idx="3">
                  <c:v>34.832000000000001</c:v>
                </c:pt>
                <c:pt idx="4">
                  <c:v>38.79</c:v>
                </c:pt>
                <c:pt idx="5">
                  <c:v>38.161700000000003</c:v>
                </c:pt>
                <c:pt idx="6">
                  <c:v>35.413899999999998</c:v>
                </c:pt>
                <c:pt idx="7">
                  <c:v>34.748100000000001</c:v>
                </c:pt>
                <c:pt idx="8">
                  <c:v>34.521999999999998</c:v>
                </c:pt>
                <c:pt idx="9">
                  <c:v>31.817699999999999</c:v>
                </c:pt>
                <c:pt idx="10">
                  <c:v>27.224699999999999</c:v>
                </c:pt>
                <c:pt idx="11">
                  <c:v>21.564800000000002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F-4949-92CD-8B8B1C15B80D}"/>
            </c:ext>
          </c:extLst>
        </c:ser>
        <c:ser>
          <c:idx val="1"/>
          <c:order val="1"/>
          <c:tx>
            <c:strRef>
              <c:f>'GCM Val.'!$D$48</c:f>
              <c:strCache>
                <c:ptCount val="1"/>
                <c:pt idx="0">
                  <c:v> CanESM2 Tmax LHR </c:v>
                </c:pt>
              </c:strCache>
            </c:strRef>
          </c:tx>
          <c:spPr>
            <a:ln>
              <a:solidFill>
                <a:srgbClr val="7030A0"/>
              </a:solidFill>
              <a:prstDash val="sysDash"/>
            </a:ln>
          </c:spPr>
          <c:marker>
            <c:symbol val="diamond"/>
            <c:size val="7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Val.'!$D$49:$D$60</c:f>
              <c:numCache>
                <c:formatCode>General</c:formatCode>
                <c:ptCount val="12"/>
                <c:pt idx="0">
                  <c:v>20.301206935483865</c:v>
                </c:pt>
                <c:pt idx="1">
                  <c:v>22.738810070671395</c:v>
                </c:pt>
                <c:pt idx="2">
                  <c:v>26.95014064516127</c:v>
                </c:pt>
                <c:pt idx="3">
                  <c:v>33.27971749999999</c:v>
                </c:pt>
                <c:pt idx="4">
                  <c:v>39.337359516129062</c:v>
                </c:pt>
                <c:pt idx="5">
                  <c:v>41.323451833333337</c:v>
                </c:pt>
                <c:pt idx="6">
                  <c:v>36.046966290322565</c:v>
                </c:pt>
                <c:pt idx="7">
                  <c:v>35.127331451612903</c:v>
                </c:pt>
                <c:pt idx="8">
                  <c:v>34.666449</c:v>
                </c:pt>
                <c:pt idx="9">
                  <c:v>31.278957258064523</c:v>
                </c:pt>
                <c:pt idx="10">
                  <c:v>27.579805666666658</c:v>
                </c:pt>
                <c:pt idx="11">
                  <c:v>22.589782943143803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F-4949-92CD-8B8B1C15B80D}"/>
            </c:ext>
          </c:extLst>
        </c:ser>
        <c:ser>
          <c:idx val="2"/>
          <c:order val="2"/>
          <c:tx>
            <c:strRef>
              <c:f>'GCM Val.'!$E$48</c:f>
              <c:strCache>
                <c:ptCount val="1"/>
                <c:pt idx="0">
                  <c:v>NCEP Tmax LHR </c:v>
                </c:pt>
              </c:strCache>
            </c:strRef>
          </c:tx>
          <c:spPr>
            <a:ln cmpd="sng">
              <a:solidFill>
                <a:srgbClr val="00FF00"/>
              </a:solidFill>
              <a:prstDash val="sysDot"/>
            </a:ln>
          </c:spPr>
          <c:marker>
            <c:symbol val="diamond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Val.'!$E$49:$E$60</c:f>
              <c:numCache>
                <c:formatCode>General</c:formatCode>
                <c:ptCount val="12"/>
                <c:pt idx="0">
                  <c:v>20.096513709677421</c:v>
                </c:pt>
                <c:pt idx="1">
                  <c:v>22.95619628975264</c:v>
                </c:pt>
                <c:pt idx="2">
                  <c:v>26.808556935483871</c:v>
                </c:pt>
                <c:pt idx="3">
                  <c:v>33.149544333333345</c:v>
                </c:pt>
                <c:pt idx="4">
                  <c:v>39.480089354838704</c:v>
                </c:pt>
                <c:pt idx="5">
                  <c:v>41.090337499999997</c:v>
                </c:pt>
                <c:pt idx="6">
                  <c:v>36.10730661290323</c:v>
                </c:pt>
                <c:pt idx="7">
                  <c:v>35.644198225806434</c:v>
                </c:pt>
                <c:pt idx="8">
                  <c:v>34.924275833333326</c:v>
                </c:pt>
                <c:pt idx="9">
                  <c:v>33.374312258064499</c:v>
                </c:pt>
                <c:pt idx="10">
                  <c:v>28.593778166666642</c:v>
                </c:pt>
                <c:pt idx="11">
                  <c:v>22.541041304347821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1F-4949-92CD-8B8B1C15B80D}"/>
            </c:ext>
          </c:extLst>
        </c:ser>
        <c:ser>
          <c:idx val="3"/>
          <c:order val="3"/>
          <c:tx>
            <c:strRef>
              <c:f>'GCM Val.'!$F$48</c:f>
              <c:strCache>
                <c:ptCount val="1"/>
                <c:pt idx="0">
                  <c:v> Obs. Tmax  FSD</c:v>
                </c:pt>
              </c:strCache>
            </c:strRef>
          </c:tx>
          <c:spPr>
            <a:ln>
              <a:solidFill>
                <a:srgbClr val="0070C0"/>
              </a:solidFill>
              <a:prstDash val="solid"/>
            </a:ln>
          </c:spPr>
          <c:marker>
            <c:symbol val="triangle"/>
            <c:size val="7"/>
            <c:spPr>
              <a:solidFill>
                <a:schemeClr val="tx1"/>
              </a:solidFill>
              <a:ln>
                <a:solidFill>
                  <a:srgbClr val="0070C0"/>
                </a:solidFill>
              </a:ln>
            </c:spPr>
          </c:marker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Val.'!$F$49:$F$60</c:f>
              <c:numCache>
                <c:formatCode>0.00</c:formatCode>
                <c:ptCount val="12"/>
                <c:pt idx="0">
                  <c:v>18.230967741935462</c:v>
                </c:pt>
                <c:pt idx="1">
                  <c:v>22.104240282685513</c:v>
                </c:pt>
                <c:pt idx="2">
                  <c:v>27.755161290322576</c:v>
                </c:pt>
                <c:pt idx="3">
                  <c:v>35.155000000000008</c:v>
                </c:pt>
                <c:pt idx="4">
                  <c:v>39.424193548387109</c:v>
                </c:pt>
                <c:pt idx="5">
                  <c:v>39.597666666666669</c:v>
                </c:pt>
                <c:pt idx="6">
                  <c:v>37.498387096774209</c:v>
                </c:pt>
                <c:pt idx="7">
                  <c:v>36.734838709677426</c:v>
                </c:pt>
                <c:pt idx="8">
                  <c:v>35.751666666666665</c:v>
                </c:pt>
                <c:pt idx="9">
                  <c:v>32.709354838709665</c:v>
                </c:pt>
                <c:pt idx="10">
                  <c:v>27.419333333333331</c:v>
                </c:pt>
                <c:pt idx="11">
                  <c:v>21.780645161290312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1F-4949-92CD-8B8B1C15B80D}"/>
            </c:ext>
          </c:extLst>
        </c:ser>
        <c:ser>
          <c:idx val="4"/>
          <c:order val="4"/>
          <c:tx>
            <c:strRef>
              <c:f>'GCM Val.'!$G$48</c:f>
              <c:strCache>
                <c:ptCount val="1"/>
                <c:pt idx="0">
                  <c:v> CanESM2 Tmax FSD</c:v>
                </c:pt>
              </c:strCache>
            </c:strRef>
          </c:tx>
          <c:spPr>
            <a:ln cmpd="sng">
              <a:solidFill>
                <a:srgbClr val="00FFFF"/>
              </a:solidFill>
              <a:prstDash val="sysDash"/>
            </a:ln>
          </c:spPr>
          <c:marker>
            <c:symbol val="triangle"/>
            <c:size val="7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Val.'!$G$49:$G$60</c:f>
              <c:numCache>
                <c:formatCode>0.00</c:formatCode>
                <c:ptCount val="12"/>
                <c:pt idx="0">
                  <c:v>19.536076129032264</c:v>
                </c:pt>
                <c:pt idx="1">
                  <c:v>22.328670318021196</c:v>
                </c:pt>
                <c:pt idx="2">
                  <c:v>26.301891774193546</c:v>
                </c:pt>
                <c:pt idx="3">
                  <c:v>32.360205499999999</c:v>
                </c:pt>
                <c:pt idx="4">
                  <c:v>39.676365322580629</c:v>
                </c:pt>
                <c:pt idx="5">
                  <c:v>41.429400000000001</c:v>
                </c:pt>
                <c:pt idx="6">
                  <c:v>37.385270806451608</c:v>
                </c:pt>
                <c:pt idx="7">
                  <c:v>36.720998548387101</c:v>
                </c:pt>
                <c:pt idx="8">
                  <c:v>35.762554333333362</c:v>
                </c:pt>
                <c:pt idx="9">
                  <c:v>32.58263677419356</c:v>
                </c:pt>
                <c:pt idx="10">
                  <c:v>27.677763833333337</c:v>
                </c:pt>
                <c:pt idx="11">
                  <c:v>22.059992096774184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1F-4949-92CD-8B8B1C15B80D}"/>
            </c:ext>
          </c:extLst>
        </c:ser>
        <c:ser>
          <c:idx val="5"/>
          <c:order val="5"/>
          <c:tx>
            <c:strRef>
              <c:f>'GCM Val.'!$H$48</c:f>
              <c:strCache>
                <c:ptCount val="1"/>
                <c:pt idx="0">
                  <c:v>NCEP Tmax FSD</c:v>
                </c:pt>
              </c:strCache>
            </c:strRef>
          </c:tx>
          <c:spPr>
            <a:ln cmpd="sng">
              <a:solidFill>
                <a:srgbClr val="FFFF00"/>
              </a:solidFill>
              <a:prstDash val="sysDot"/>
            </a:ln>
          </c:spPr>
          <c:marker>
            <c:symbol val="triangle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Val.'!$H$49:$H$60</c:f>
              <c:numCache>
                <c:formatCode>0.00</c:formatCode>
                <c:ptCount val="12"/>
                <c:pt idx="0">
                  <c:v>19.528945322580633</c:v>
                </c:pt>
                <c:pt idx="1">
                  <c:v>22.286457950530032</c:v>
                </c:pt>
                <c:pt idx="2">
                  <c:v>26.354094677419351</c:v>
                </c:pt>
                <c:pt idx="3">
                  <c:v>32.390475166666647</c:v>
                </c:pt>
                <c:pt idx="4">
                  <c:v>39.589246451612901</c:v>
                </c:pt>
                <c:pt idx="5">
                  <c:v>41.521354166666697</c:v>
                </c:pt>
                <c:pt idx="6">
                  <c:v>37.295053709677404</c:v>
                </c:pt>
                <c:pt idx="7">
                  <c:v>36.716080967741938</c:v>
                </c:pt>
                <c:pt idx="8">
                  <c:v>35.703713000000022</c:v>
                </c:pt>
                <c:pt idx="9">
                  <c:v>32.589766612903212</c:v>
                </c:pt>
                <c:pt idx="10">
                  <c:v>27.651858166666649</c:v>
                </c:pt>
                <c:pt idx="11">
                  <c:v>22.029813043478239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1F-4949-92CD-8B8B1C15B80D}"/>
            </c:ext>
          </c:extLst>
        </c:ser>
        <c:ser>
          <c:idx val="6"/>
          <c:order val="6"/>
          <c:tx>
            <c:strRef>
              <c:f>'GCM Val.'!$I$48</c:f>
              <c:strCache>
                <c:ptCount val="1"/>
                <c:pt idx="0">
                  <c:v> Obs. Tmax  SGD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rgbClr val="FFFF00"/>
                </a:solidFill>
              </a:ln>
            </c:spPr>
          </c:marker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Val.'!$I$49:$I$60</c:f>
              <c:numCache>
                <c:formatCode>0.00</c:formatCode>
                <c:ptCount val="12"/>
                <c:pt idx="0">
                  <c:v>19.691397849462362</c:v>
                </c:pt>
                <c:pt idx="1">
                  <c:v>23.641666666666662</c:v>
                </c:pt>
                <c:pt idx="2">
                  <c:v>28.526881720430104</c:v>
                </c:pt>
                <c:pt idx="3">
                  <c:v>35.149999999999991</c:v>
                </c:pt>
                <c:pt idx="4">
                  <c:v>38.939784946236557</c:v>
                </c:pt>
                <c:pt idx="5">
                  <c:v>40.111111111111107</c:v>
                </c:pt>
                <c:pt idx="6">
                  <c:v>36.777419354838706</c:v>
                </c:pt>
                <c:pt idx="7">
                  <c:v>36.931182795698923</c:v>
                </c:pt>
                <c:pt idx="8">
                  <c:v>36.323333333333338</c:v>
                </c:pt>
                <c:pt idx="9">
                  <c:v>33.081720430107517</c:v>
                </c:pt>
                <c:pt idx="10">
                  <c:v>25.795555555555556</c:v>
                </c:pt>
                <c:pt idx="11">
                  <c:v>20.819354838709668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1F-4949-92CD-8B8B1C15B80D}"/>
            </c:ext>
          </c:extLst>
        </c:ser>
        <c:ser>
          <c:idx val="7"/>
          <c:order val="7"/>
          <c:tx>
            <c:strRef>
              <c:f>'GCM Val.'!$J$48</c:f>
              <c:strCache>
                <c:ptCount val="1"/>
                <c:pt idx="0">
                  <c:v> CanESM2 Tmax SGD</c:v>
                </c:pt>
              </c:strCache>
            </c:strRef>
          </c:tx>
          <c:spPr>
            <a:ln>
              <a:solidFill>
                <a:srgbClr val="663300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Val.'!$J$49:$J$60</c:f>
              <c:numCache>
                <c:formatCode>0.00</c:formatCode>
                <c:ptCount val="12"/>
                <c:pt idx="0">
                  <c:v>17.723372580645158</c:v>
                </c:pt>
                <c:pt idx="1">
                  <c:v>21.605060714285706</c:v>
                </c:pt>
                <c:pt idx="2">
                  <c:v>28.205601075268817</c:v>
                </c:pt>
                <c:pt idx="3">
                  <c:v>35.018463888888888</c:v>
                </c:pt>
                <c:pt idx="4">
                  <c:v>39.786527419354826</c:v>
                </c:pt>
                <c:pt idx="5">
                  <c:v>41.965032222222227</c:v>
                </c:pt>
                <c:pt idx="6">
                  <c:v>37.459442473118294</c:v>
                </c:pt>
                <c:pt idx="7">
                  <c:v>36.339161827956993</c:v>
                </c:pt>
                <c:pt idx="8">
                  <c:v>35.307572222222213</c:v>
                </c:pt>
                <c:pt idx="9">
                  <c:v>31.674990322580648</c:v>
                </c:pt>
                <c:pt idx="10">
                  <c:v>27.19320500000001</c:v>
                </c:pt>
                <c:pt idx="11">
                  <c:v>22.371755376344094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1F-4949-92CD-8B8B1C15B80D}"/>
            </c:ext>
          </c:extLst>
        </c:ser>
        <c:ser>
          <c:idx val="8"/>
          <c:order val="8"/>
          <c:tx>
            <c:strRef>
              <c:f>'GCM Val.'!$K$48</c:f>
              <c:strCache>
                <c:ptCount val="1"/>
                <c:pt idx="0">
                  <c:v>NCEP Tmax SGD</c:v>
                </c:pt>
              </c:strCache>
            </c:strRef>
          </c:tx>
          <c:spPr>
            <a:ln>
              <a:solidFill>
                <a:srgbClr val="FF0066"/>
              </a:solidFill>
              <a:prstDash val="sysDot"/>
            </a:ln>
          </c:spPr>
          <c:marker>
            <c:symbol val="circle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Val.'!$K$49:$K$60</c:f>
              <c:numCache>
                <c:formatCode>0.00</c:formatCode>
                <c:ptCount val="12"/>
                <c:pt idx="0">
                  <c:v>19.368319354838714</c:v>
                </c:pt>
                <c:pt idx="1">
                  <c:v>21.879146428571431</c:v>
                </c:pt>
                <c:pt idx="2">
                  <c:v>27.273317741935497</c:v>
                </c:pt>
                <c:pt idx="3">
                  <c:v>32.943641111111134</c:v>
                </c:pt>
                <c:pt idx="4">
                  <c:v>39.991992473118266</c:v>
                </c:pt>
                <c:pt idx="5">
                  <c:v>41.107677777777788</c:v>
                </c:pt>
                <c:pt idx="6">
                  <c:v>36.596673655913989</c:v>
                </c:pt>
                <c:pt idx="7">
                  <c:v>35.720795161290333</c:v>
                </c:pt>
                <c:pt idx="8">
                  <c:v>35.283180555555546</c:v>
                </c:pt>
                <c:pt idx="9">
                  <c:v>33.74814139784948</c:v>
                </c:pt>
                <c:pt idx="10">
                  <c:v>27.947788333333353</c:v>
                </c:pt>
                <c:pt idx="11">
                  <c:v>22.497391397849462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1F-4949-92CD-8B8B1C15B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682432"/>
        <c:axId val="189679872"/>
      </c:lineChart>
      <c:valAx>
        <c:axId val="189679872"/>
        <c:scaling>
          <c:orientation val="minMax"/>
          <c:max val="4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Tmax (°C)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89682432"/>
        <c:crosses val="autoZero"/>
        <c:crossBetween val="between"/>
        <c:majorUnit val="5"/>
        <c:minorUnit val="5"/>
      </c:valAx>
      <c:catAx>
        <c:axId val="189682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1400"/>
            </a:pPr>
            <a:endParaRPr lang="en-US"/>
          </a:p>
        </c:txPr>
        <c:crossAx val="189679872"/>
        <c:crosses val="autoZero"/>
        <c:auto val="0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8233544866601961"/>
          <c:y val="6.3588679932235728E-2"/>
          <c:w val="0.6375158862090412"/>
          <c:h val="0.10709240939167676"/>
        </c:manualLayout>
      </c:layout>
      <c:overlay val="0"/>
      <c:spPr>
        <a:noFill/>
        <a:ln>
          <a:solidFill>
            <a:schemeClr val="bg1"/>
          </a:solidFill>
        </a:ln>
      </c:spPr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tx1"/>
      </a:solidFill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8.1597259392101745E-2"/>
          <c:y val="0.19885753681391163"/>
          <c:w val="0.83387011519393406"/>
          <c:h val="0.649570576923181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'GCM Val.'!$C$88</c:f>
              <c:strCache>
                <c:ptCount val="1"/>
                <c:pt idx="0">
                  <c:v> Obs. Tmin  LHR</c:v>
                </c:pt>
              </c:strCache>
            </c:strRef>
          </c:tx>
          <c:spPr>
            <a:solidFill>
              <a:srgbClr val="00FFFF"/>
            </a:solidFill>
            <a:ln cmpd="sng">
              <a:solidFill>
                <a:schemeClr val="tx1"/>
              </a:solidFill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Val.'!$C$89:$C$100</c:f>
              <c:numCache>
                <c:formatCode>0.00</c:formatCode>
                <c:ptCount val="12"/>
                <c:pt idx="0">
                  <c:v>7.7854799999999997</c:v>
                </c:pt>
                <c:pt idx="1">
                  <c:v>10.992599999999999</c:v>
                </c:pt>
                <c:pt idx="2">
                  <c:v>16.088100000000001</c:v>
                </c:pt>
                <c:pt idx="3">
                  <c:v>21.712700000000002</c:v>
                </c:pt>
                <c:pt idx="4">
                  <c:v>25.798100000000002</c:v>
                </c:pt>
                <c:pt idx="5">
                  <c:v>27.521699999999999</c:v>
                </c:pt>
                <c:pt idx="6">
                  <c:v>27.3294</c:v>
                </c:pt>
                <c:pt idx="7">
                  <c:v>27.1784</c:v>
                </c:pt>
                <c:pt idx="8">
                  <c:v>25.53</c:v>
                </c:pt>
                <c:pt idx="9">
                  <c:v>20.284500000000001</c:v>
                </c:pt>
                <c:pt idx="10">
                  <c:v>13.9597</c:v>
                </c:pt>
                <c:pt idx="11">
                  <c:v>9.17774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0-4A86-996B-990B64F32835}"/>
            </c:ext>
          </c:extLst>
        </c:ser>
        <c:ser>
          <c:idx val="1"/>
          <c:order val="1"/>
          <c:tx>
            <c:strRef>
              <c:f>'GCM Val.'!$D$88</c:f>
              <c:strCache>
                <c:ptCount val="1"/>
                <c:pt idx="0">
                  <c:v> CanESM2 Tmin LHR 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00FFFF"/>
              </a:bgClr>
            </a:pattFill>
            <a:ln>
              <a:solidFill>
                <a:srgbClr val="C00000"/>
              </a:solidFill>
              <a:prstDash val="sysDash"/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Val.'!$D$89:$D$100</c:f>
              <c:numCache>
                <c:formatCode>0.00</c:formatCode>
                <c:ptCount val="12"/>
                <c:pt idx="0">
                  <c:v>7.2674500000000002</c:v>
                </c:pt>
                <c:pt idx="1">
                  <c:v>9.9807100000000002</c:v>
                </c:pt>
                <c:pt idx="2">
                  <c:v>14.4192</c:v>
                </c:pt>
                <c:pt idx="3">
                  <c:v>19.478999999999999</c:v>
                </c:pt>
                <c:pt idx="4">
                  <c:v>24.352399999999999</c:v>
                </c:pt>
                <c:pt idx="5">
                  <c:v>27.4069</c:v>
                </c:pt>
                <c:pt idx="6">
                  <c:v>27.060500000000001</c:v>
                </c:pt>
                <c:pt idx="7">
                  <c:v>26.737100000000002</c:v>
                </c:pt>
                <c:pt idx="8">
                  <c:v>24.782499999999999</c:v>
                </c:pt>
                <c:pt idx="9">
                  <c:v>18.352599999999999</c:v>
                </c:pt>
                <c:pt idx="10">
                  <c:v>12.581300000000001</c:v>
                </c:pt>
                <c:pt idx="11">
                  <c:v>8.2400400000000005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B0-4A86-996B-990B64F32835}"/>
            </c:ext>
          </c:extLst>
        </c:ser>
        <c:ser>
          <c:idx val="2"/>
          <c:order val="2"/>
          <c:tx>
            <c:strRef>
              <c:f>'GCM Val.'!$E$88</c:f>
              <c:strCache>
                <c:ptCount val="1"/>
                <c:pt idx="0">
                  <c:v>NCEP Tmin LHR </c:v>
                </c:pt>
              </c:strCache>
            </c:strRef>
          </c:tx>
          <c:spPr>
            <a:pattFill prst="pct75">
              <a:fgClr>
                <a:schemeClr val="tx1"/>
              </a:fgClr>
              <a:bgClr>
                <a:srgbClr val="00FFFF"/>
              </a:bgClr>
            </a:pattFill>
            <a:ln cmpd="sng">
              <a:solidFill>
                <a:srgbClr val="FFFF00"/>
              </a:solidFill>
              <a:prstDash val="sysDot"/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Val.'!$E$89:$E$100</c:f>
              <c:numCache>
                <c:formatCode>0.00</c:formatCode>
                <c:ptCount val="12"/>
                <c:pt idx="0">
                  <c:v>8.0577699999999997</c:v>
                </c:pt>
                <c:pt idx="1">
                  <c:v>9.9557500000000001</c:v>
                </c:pt>
                <c:pt idx="2">
                  <c:v>13.7742</c:v>
                </c:pt>
                <c:pt idx="3">
                  <c:v>19.050999999999998</c:v>
                </c:pt>
                <c:pt idx="4">
                  <c:v>24.962800000000001</c:v>
                </c:pt>
                <c:pt idx="5">
                  <c:v>27.419499999999999</c:v>
                </c:pt>
                <c:pt idx="6">
                  <c:v>27.412400000000002</c:v>
                </c:pt>
                <c:pt idx="7">
                  <c:v>27.2349</c:v>
                </c:pt>
                <c:pt idx="8">
                  <c:v>24.4861</c:v>
                </c:pt>
                <c:pt idx="9">
                  <c:v>17.6784</c:v>
                </c:pt>
                <c:pt idx="10">
                  <c:v>12.6067</c:v>
                </c:pt>
                <c:pt idx="11">
                  <c:v>8.4899400000000007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B0-4A86-996B-990B64F32835}"/>
            </c:ext>
          </c:extLst>
        </c:ser>
        <c:ser>
          <c:idx val="3"/>
          <c:order val="3"/>
          <c:tx>
            <c:strRef>
              <c:f>'GCM Val.'!$F$88</c:f>
              <c:strCache>
                <c:ptCount val="1"/>
                <c:pt idx="0">
                  <c:v> Obs. Tmin  FSD</c:v>
                </c:pt>
              </c:strCache>
            </c:strRef>
          </c:tx>
          <c:spPr>
            <a:solidFill>
              <a:srgbClr val="FF0066"/>
            </a:solidFill>
            <a:ln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Val.'!$F$89:$F$100</c:f>
              <c:numCache>
                <c:formatCode>0.00</c:formatCode>
                <c:ptCount val="12"/>
                <c:pt idx="0">
                  <c:v>4.96</c:v>
                </c:pt>
                <c:pt idx="1">
                  <c:v>7.51661</c:v>
                </c:pt>
                <c:pt idx="2">
                  <c:v>13.197699999999999</c:v>
                </c:pt>
                <c:pt idx="3">
                  <c:v>19.0123</c:v>
                </c:pt>
                <c:pt idx="4">
                  <c:v>23.971</c:v>
                </c:pt>
                <c:pt idx="5">
                  <c:v>26.838699999999999</c:v>
                </c:pt>
                <c:pt idx="6">
                  <c:v>27.6784</c:v>
                </c:pt>
                <c:pt idx="7">
                  <c:v>26.967099999999999</c:v>
                </c:pt>
                <c:pt idx="8">
                  <c:v>24.4313</c:v>
                </c:pt>
                <c:pt idx="9">
                  <c:v>18.091000000000001</c:v>
                </c:pt>
                <c:pt idx="10">
                  <c:v>10.9733</c:v>
                </c:pt>
                <c:pt idx="11">
                  <c:v>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B0-4A86-996B-990B64F32835}"/>
            </c:ext>
          </c:extLst>
        </c:ser>
        <c:ser>
          <c:idx val="4"/>
          <c:order val="4"/>
          <c:tx>
            <c:strRef>
              <c:f>'GCM Val.'!$G$88</c:f>
              <c:strCache>
                <c:ptCount val="1"/>
                <c:pt idx="0">
                  <c:v> CanESM2 Tmin FSD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FF0066"/>
              </a:bgClr>
            </a:pattFill>
            <a:ln cmpd="sng">
              <a:solidFill>
                <a:srgbClr val="FF0000"/>
              </a:solidFill>
              <a:prstDash val="sysDash"/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Val.'!$G$89:$G$100</c:f>
              <c:numCache>
                <c:formatCode>0.00</c:formatCode>
                <c:ptCount val="12"/>
                <c:pt idx="0">
                  <c:v>4.9322900000000001</c:v>
                </c:pt>
                <c:pt idx="1">
                  <c:v>7.5721699999999998</c:v>
                </c:pt>
                <c:pt idx="2">
                  <c:v>12.408099999999999</c:v>
                </c:pt>
                <c:pt idx="3">
                  <c:v>17.5793</c:v>
                </c:pt>
                <c:pt idx="4">
                  <c:v>23.350100000000001</c:v>
                </c:pt>
                <c:pt idx="5">
                  <c:v>26.762</c:v>
                </c:pt>
                <c:pt idx="6">
                  <c:v>27.1953</c:v>
                </c:pt>
                <c:pt idx="7">
                  <c:v>26.819099999999999</c:v>
                </c:pt>
                <c:pt idx="8">
                  <c:v>23.930700000000002</c:v>
                </c:pt>
                <c:pt idx="9">
                  <c:v>17.002800000000001</c:v>
                </c:pt>
                <c:pt idx="10">
                  <c:v>12.427199999999999</c:v>
                </c:pt>
                <c:pt idx="11">
                  <c:v>6.1480199999999998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B0-4A86-996B-990B64F32835}"/>
            </c:ext>
          </c:extLst>
        </c:ser>
        <c:ser>
          <c:idx val="5"/>
          <c:order val="5"/>
          <c:tx>
            <c:strRef>
              <c:f>'GCM Val.'!$H$88</c:f>
              <c:strCache>
                <c:ptCount val="1"/>
                <c:pt idx="0">
                  <c:v>NCEP Tmin FSD</c:v>
                </c:pt>
              </c:strCache>
            </c:strRef>
          </c:tx>
          <c:spPr>
            <a:pattFill prst="pct75">
              <a:fgClr>
                <a:schemeClr val="tx1"/>
              </a:fgClr>
              <a:bgClr>
                <a:srgbClr val="FF0066"/>
              </a:bgClr>
            </a:pattFill>
            <a:ln cmpd="sng">
              <a:solidFill>
                <a:srgbClr val="FFFF00"/>
              </a:solidFill>
              <a:prstDash val="sysDot"/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Val.'!$H$89:$H$100</c:f>
              <c:numCache>
                <c:formatCode>0.00</c:formatCode>
                <c:ptCount val="12"/>
                <c:pt idx="0">
                  <c:v>5.9475199999999999</c:v>
                </c:pt>
                <c:pt idx="1">
                  <c:v>7.3773200000000001</c:v>
                </c:pt>
                <c:pt idx="2">
                  <c:v>11.885199999999999</c:v>
                </c:pt>
                <c:pt idx="3">
                  <c:v>17.122800000000002</c:v>
                </c:pt>
                <c:pt idx="4">
                  <c:v>22.973700000000001</c:v>
                </c:pt>
                <c:pt idx="5">
                  <c:v>26.5137</c:v>
                </c:pt>
                <c:pt idx="6">
                  <c:v>27.222799999999999</c:v>
                </c:pt>
                <c:pt idx="7">
                  <c:v>26.421199999999999</c:v>
                </c:pt>
                <c:pt idx="8">
                  <c:v>23.3797</c:v>
                </c:pt>
                <c:pt idx="9">
                  <c:v>16.2258</c:v>
                </c:pt>
                <c:pt idx="10">
                  <c:v>13.0116</c:v>
                </c:pt>
                <c:pt idx="11">
                  <c:v>6.5591900000000001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B0-4A86-996B-990B64F32835}"/>
            </c:ext>
          </c:extLst>
        </c:ser>
        <c:ser>
          <c:idx val="6"/>
          <c:order val="6"/>
          <c:tx>
            <c:strRef>
              <c:f>'GCM Val.'!$I$88</c:f>
              <c:strCache>
                <c:ptCount val="1"/>
                <c:pt idx="0">
                  <c:v> Obs. Tmin  SGD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Val.'!$I$89:$I$100</c:f>
              <c:numCache>
                <c:formatCode>0.00</c:formatCode>
                <c:ptCount val="12"/>
                <c:pt idx="0">
                  <c:v>7.7854799999999997</c:v>
                </c:pt>
                <c:pt idx="1">
                  <c:v>10.992599999999999</c:v>
                </c:pt>
                <c:pt idx="2">
                  <c:v>16.088100000000001</c:v>
                </c:pt>
                <c:pt idx="3">
                  <c:v>21.712700000000002</c:v>
                </c:pt>
                <c:pt idx="4">
                  <c:v>25.798100000000002</c:v>
                </c:pt>
                <c:pt idx="5">
                  <c:v>27.521699999999999</c:v>
                </c:pt>
                <c:pt idx="6">
                  <c:v>27.3294</c:v>
                </c:pt>
                <c:pt idx="7">
                  <c:v>27.1784</c:v>
                </c:pt>
                <c:pt idx="8">
                  <c:v>25.53</c:v>
                </c:pt>
                <c:pt idx="9">
                  <c:v>20.284500000000001</c:v>
                </c:pt>
                <c:pt idx="10">
                  <c:v>13.9597</c:v>
                </c:pt>
                <c:pt idx="11">
                  <c:v>9.17774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B0-4A86-996B-990B64F32835}"/>
            </c:ext>
          </c:extLst>
        </c:ser>
        <c:ser>
          <c:idx val="7"/>
          <c:order val="7"/>
          <c:tx>
            <c:strRef>
              <c:f>'GCM Val.'!$J$88</c:f>
              <c:strCache>
                <c:ptCount val="1"/>
                <c:pt idx="0">
                  <c:v> CanESM2 Tmin SGD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00FF00"/>
              </a:bgClr>
            </a:pattFill>
            <a:ln>
              <a:solidFill>
                <a:srgbClr val="FF0000"/>
              </a:solidFill>
              <a:prstDash val="sysDash"/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Val.'!$J$89:$J$100</c:f>
              <c:numCache>
                <c:formatCode>0.00</c:formatCode>
                <c:ptCount val="12"/>
                <c:pt idx="0">
                  <c:v>7.2674500000000002</c:v>
                </c:pt>
                <c:pt idx="1">
                  <c:v>9.9807100000000002</c:v>
                </c:pt>
                <c:pt idx="2">
                  <c:v>14.4192</c:v>
                </c:pt>
                <c:pt idx="3">
                  <c:v>19.478999999999999</c:v>
                </c:pt>
                <c:pt idx="4">
                  <c:v>24.352399999999999</c:v>
                </c:pt>
                <c:pt idx="5">
                  <c:v>27.4069</c:v>
                </c:pt>
                <c:pt idx="6">
                  <c:v>27.060500000000001</c:v>
                </c:pt>
                <c:pt idx="7">
                  <c:v>26.737100000000002</c:v>
                </c:pt>
                <c:pt idx="8">
                  <c:v>24.782499999999999</c:v>
                </c:pt>
                <c:pt idx="9">
                  <c:v>18.352599999999999</c:v>
                </c:pt>
                <c:pt idx="10">
                  <c:v>12.581300000000001</c:v>
                </c:pt>
                <c:pt idx="11">
                  <c:v>8.2400400000000005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B0-4A86-996B-990B64F32835}"/>
            </c:ext>
          </c:extLst>
        </c:ser>
        <c:ser>
          <c:idx val="8"/>
          <c:order val="8"/>
          <c:tx>
            <c:strRef>
              <c:f>'GCM Val.'!$K$88</c:f>
              <c:strCache>
                <c:ptCount val="1"/>
                <c:pt idx="0">
                  <c:v>NCEP Tmin SGD</c:v>
                </c:pt>
              </c:strCache>
            </c:strRef>
          </c:tx>
          <c:spPr>
            <a:pattFill prst="pct75">
              <a:fgClr>
                <a:schemeClr val="tx1"/>
              </a:fgClr>
              <a:bgClr>
                <a:srgbClr val="00FF00"/>
              </a:bgClr>
            </a:pattFill>
            <a:ln>
              <a:solidFill>
                <a:srgbClr val="FFFF00"/>
              </a:solidFill>
              <a:prstDash val="sysDot"/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Val.'!$K$89:$K$100</c:f>
              <c:numCache>
                <c:formatCode>0.00</c:formatCode>
                <c:ptCount val="12"/>
                <c:pt idx="0">
                  <c:v>8.0577699999999997</c:v>
                </c:pt>
                <c:pt idx="1">
                  <c:v>9.9557500000000001</c:v>
                </c:pt>
                <c:pt idx="2">
                  <c:v>13.7742</c:v>
                </c:pt>
                <c:pt idx="3">
                  <c:v>19.050999999999998</c:v>
                </c:pt>
                <c:pt idx="4">
                  <c:v>24.962800000000001</c:v>
                </c:pt>
                <c:pt idx="5">
                  <c:v>27.419499999999999</c:v>
                </c:pt>
                <c:pt idx="6">
                  <c:v>27.412400000000002</c:v>
                </c:pt>
                <c:pt idx="7">
                  <c:v>27.2349</c:v>
                </c:pt>
                <c:pt idx="8">
                  <c:v>24.4861</c:v>
                </c:pt>
                <c:pt idx="9">
                  <c:v>17.6784</c:v>
                </c:pt>
                <c:pt idx="10">
                  <c:v>12.6067</c:v>
                </c:pt>
                <c:pt idx="11">
                  <c:v>8.4899400000000007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B0-4A86-996B-990B64F32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780736"/>
        <c:axId val="189753984"/>
      </c:barChart>
      <c:valAx>
        <c:axId val="189753984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Tmin (°C)</a:t>
                </a:r>
              </a:p>
            </c:rich>
          </c:tx>
          <c:overlay val="0"/>
        </c:title>
        <c:numFmt formatCode="0" sourceLinked="0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89780736"/>
        <c:crosses val="autoZero"/>
        <c:crossBetween val="between"/>
        <c:majorUnit val="5"/>
        <c:minorUnit val="1"/>
      </c:valAx>
      <c:catAx>
        <c:axId val="1897807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1400"/>
            </a:pPr>
            <a:endParaRPr lang="en-US"/>
          </a:p>
        </c:txPr>
        <c:crossAx val="189753984"/>
        <c:crosses val="autoZero"/>
        <c:auto val="0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8233544866601961"/>
          <c:y val="6.3588679932235728E-2"/>
          <c:w val="0.69934011002879881"/>
          <c:h val="0.12171767290137665"/>
        </c:manualLayout>
      </c:layout>
      <c:overlay val="0"/>
      <c:spPr>
        <a:noFill/>
        <a:ln>
          <a:solidFill>
            <a:schemeClr val="bg1"/>
          </a:solidFill>
        </a:ln>
      </c:spPr>
      <c:txPr>
        <a:bodyPr/>
        <a:lstStyle/>
        <a:p>
          <a:pPr>
            <a:defRPr sz="16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tx1"/>
      </a:solidFill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8.1597223514909334E-2"/>
          <c:y val="0.17342465177001765"/>
          <c:w val="0.83387011519393406"/>
          <c:h val="0.64957057692318199"/>
        </c:manualLayout>
      </c:layout>
      <c:lineChart>
        <c:grouping val="standard"/>
        <c:varyColors val="0"/>
        <c:ser>
          <c:idx val="0"/>
          <c:order val="0"/>
          <c:tx>
            <c:strRef>
              <c:f>'GCM Val.'!$C$6</c:f>
              <c:strCache>
                <c:ptCount val="1"/>
                <c:pt idx="0">
                  <c:v> Obs. Rain  LHR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chemeClr val="tx1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Val.'!$C$7:$C$18</c:f>
              <c:numCache>
                <c:formatCode>General</c:formatCode>
                <c:ptCount val="12"/>
                <c:pt idx="0">
                  <c:v>19.71</c:v>
                </c:pt>
                <c:pt idx="1">
                  <c:v>27.7</c:v>
                </c:pt>
                <c:pt idx="2">
                  <c:v>23.8</c:v>
                </c:pt>
                <c:pt idx="3">
                  <c:v>17.899999999999999</c:v>
                </c:pt>
                <c:pt idx="4">
                  <c:v>19.329999999999998</c:v>
                </c:pt>
                <c:pt idx="5">
                  <c:v>64.7</c:v>
                </c:pt>
                <c:pt idx="6">
                  <c:v>218.46</c:v>
                </c:pt>
                <c:pt idx="7">
                  <c:v>196</c:v>
                </c:pt>
                <c:pt idx="8">
                  <c:v>44.59</c:v>
                </c:pt>
                <c:pt idx="9">
                  <c:v>16.82</c:v>
                </c:pt>
                <c:pt idx="10">
                  <c:v>9.92</c:v>
                </c:pt>
                <c:pt idx="11">
                  <c:v>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1D-4798-AF68-4C398CCD2747}"/>
            </c:ext>
          </c:extLst>
        </c:ser>
        <c:ser>
          <c:idx val="1"/>
          <c:order val="1"/>
          <c:tx>
            <c:strRef>
              <c:f>'GCM Val.'!$D$6</c:f>
              <c:strCache>
                <c:ptCount val="1"/>
                <c:pt idx="0">
                  <c:v> CanESM2 Rain LHR </c:v>
                </c:pt>
              </c:strCache>
            </c:strRef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diamond"/>
            <c:size val="7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Val.'!$D$7:$D$18</c:f>
              <c:numCache>
                <c:formatCode>General</c:formatCode>
                <c:ptCount val="12"/>
                <c:pt idx="0">
                  <c:v>36.028799999999997</c:v>
                </c:pt>
                <c:pt idx="1">
                  <c:v>53.363500000000002</c:v>
                </c:pt>
                <c:pt idx="2">
                  <c:v>44.471299999999999</c:v>
                </c:pt>
                <c:pt idx="3">
                  <c:v>24.1691</c:v>
                </c:pt>
                <c:pt idx="4">
                  <c:v>22.505199999999999</c:v>
                </c:pt>
                <c:pt idx="5">
                  <c:v>34.551400000000001</c:v>
                </c:pt>
                <c:pt idx="6">
                  <c:v>209.70400000000001</c:v>
                </c:pt>
                <c:pt idx="7">
                  <c:v>225.411</c:v>
                </c:pt>
                <c:pt idx="8">
                  <c:v>115.245</c:v>
                </c:pt>
                <c:pt idx="9">
                  <c:v>13.686199999999999</c:v>
                </c:pt>
                <c:pt idx="10">
                  <c:v>8.7556999999999992</c:v>
                </c:pt>
                <c:pt idx="11">
                  <c:v>12.839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1D-4798-AF68-4C398CCD2747}"/>
            </c:ext>
          </c:extLst>
        </c:ser>
        <c:ser>
          <c:idx val="2"/>
          <c:order val="2"/>
          <c:tx>
            <c:strRef>
              <c:f>'GCM Val.'!$E$6</c:f>
              <c:strCache>
                <c:ptCount val="1"/>
                <c:pt idx="0">
                  <c:v>NCEP Rain LHR 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diamond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Val.'!$E$7:$E$18</c:f>
              <c:numCache>
                <c:formatCode>General</c:formatCode>
                <c:ptCount val="12"/>
                <c:pt idx="0">
                  <c:v>13.8429</c:v>
                </c:pt>
                <c:pt idx="1">
                  <c:v>87.5929</c:v>
                </c:pt>
                <c:pt idx="2">
                  <c:v>20.4468</c:v>
                </c:pt>
                <c:pt idx="3">
                  <c:v>22.3614</c:v>
                </c:pt>
                <c:pt idx="4">
                  <c:v>36.866999999999997</c:v>
                </c:pt>
                <c:pt idx="5">
                  <c:v>32.334000000000003</c:v>
                </c:pt>
                <c:pt idx="6">
                  <c:v>191.35300000000001</c:v>
                </c:pt>
                <c:pt idx="7">
                  <c:v>191.261</c:v>
                </c:pt>
                <c:pt idx="8">
                  <c:v>91.234800000000007</c:v>
                </c:pt>
                <c:pt idx="9">
                  <c:v>12.420999999999999</c:v>
                </c:pt>
                <c:pt idx="10">
                  <c:v>15.390499999999999</c:v>
                </c:pt>
                <c:pt idx="11">
                  <c:v>16.5764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1D-4798-AF68-4C398CCD2747}"/>
            </c:ext>
          </c:extLst>
        </c:ser>
        <c:ser>
          <c:idx val="3"/>
          <c:order val="3"/>
          <c:tx>
            <c:strRef>
              <c:f>'GCM Val.'!$F$6</c:f>
              <c:strCache>
                <c:ptCount val="1"/>
                <c:pt idx="0">
                  <c:v> Obs. Rain  FSD</c:v>
                </c:pt>
              </c:strCache>
            </c:strRef>
          </c:tx>
          <c:spPr>
            <a:ln>
              <a:solidFill>
                <a:srgbClr val="FF0066"/>
              </a:solidFill>
              <a:prstDash val="solid"/>
            </a:ln>
          </c:spPr>
          <c:marker>
            <c:symbol val="triangle"/>
            <c:size val="7"/>
            <c:spPr>
              <a:solidFill>
                <a:schemeClr val="tx1"/>
              </a:solidFill>
              <a:ln>
                <a:solidFill>
                  <a:srgbClr val="FF0066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Val.'!$F$7:$F$18</c:f>
              <c:numCache>
                <c:formatCode>General</c:formatCode>
                <c:ptCount val="12"/>
                <c:pt idx="0">
                  <c:v>8.8899999999999988</c:v>
                </c:pt>
                <c:pt idx="1">
                  <c:v>19.600000000000001</c:v>
                </c:pt>
                <c:pt idx="2">
                  <c:v>25.442</c:v>
                </c:pt>
                <c:pt idx="3">
                  <c:v>18.5</c:v>
                </c:pt>
                <c:pt idx="4">
                  <c:v>10.119999999999999</c:v>
                </c:pt>
                <c:pt idx="5">
                  <c:v>81.760000000000005</c:v>
                </c:pt>
                <c:pt idx="6">
                  <c:v>72.620000000000033</c:v>
                </c:pt>
                <c:pt idx="7">
                  <c:v>75.810000000000016</c:v>
                </c:pt>
                <c:pt idx="8">
                  <c:v>43.11999999999999</c:v>
                </c:pt>
                <c:pt idx="9">
                  <c:v>8.620000000000001</c:v>
                </c:pt>
                <c:pt idx="10">
                  <c:v>3</c:v>
                </c:pt>
                <c:pt idx="11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1D-4798-AF68-4C398CCD2747}"/>
            </c:ext>
          </c:extLst>
        </c:ser>
        <c:ser>
          <c:idx val="4"/>
          <c:order val="4"/>
          <c:tx>
            <c:strRef>
              <c:f>'GCM Val.'!$G$6</c:f>
              <c:strCache>
                <c:ptCount val="1"/>
                <c:pt idx="0">
                  <c:v> CanESM2 Rain FSD</c:v>
                </c:pt>
              </c:strCache>
            </c:strRef>
          </c:tx>
          <c:spPr>
            <a:ln>
              <a:solidFill>
                <a:srgbClr val="FF0066"/>
              </a:solidFill>
              <a:prstDash val="sysDash"/>
            </a:ln>
          </c:spPr>
          <c:marker>
            <c:symbol val="triangle"/>
            <c:size val="7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Val.'!$G$7:$G$18</c:f>
              <c:numCache>
                <c:formatCode>General</c:formatCode>
                <c:ptCount val="12"/>
                <c:pt idx="0">
                  <c:v>21.302100000000003</c:v>
                </c:pt>
                <c:pt idx="1">
                  <c:v>40.285899999999998</c:v>
                </c:pt>
                <c:pt idx="2">
                  <c:v>30.095300000000002</c:v>
                </c:pt>
                <c:pt idx="3">
                  <c:v>24.170299999999997</c:v>
                </c:pt>
                <c:pt idx="4">
                  <c:v>16.329799999999999</c:v>
                </c:pt>
                <c:pt idx="5">
                  <c:v>41.705699999999993</c:v>
                </c:pt>
                <c:pt idx="6">
                  <c:v>110.0633</c:v>
                </c:pt>
                <c:pt idx="7">
                  <c:v>16.442799999999998</c:v>
                </c:pt>
                <c:pt idx="8">
                  <c:v>56.429700000000011</c:v>
                </c:pt>
                <c:pt idx="9">
                  <c:v>0.3206</c:v>
                </c:pt>
                <c:pt idx="10">
                  <c:v>2.2894999999999999</c:v>
                </c:pt>
                <c:pt idx="11">
                  <c:v>21.762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1D-4798-AF68-4C398CCD2747}"/>
            </c:ext>
          </c:extLst>
        </c:ser>
        <c:ser>
          <c:idx val="5"/>
          <c:order val="5"/>
          <c:tx>
            <c:strRef>
              <c:f>'GCM Val.'!$H$6</c:f>
              <c:strCache>
                <c:ptCount val="1"/>
                <c:pt idx="0">
                  <c:v>NCEP Rain FSD</c:v>
                </c:pt>
              </c:strCache>
            </c:strRef>
          </c:tx>
          <c:spPr>
            <a:ln>
              <a:solidFill>
                <a:srgbClr val="FF0066"/>
              </a:solidFill>
              <a:prstDash val="sysDot"/>
            </a:ln>
          </c:spPr>
          <c:marker>
            <c:symbol val="triangle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Val.'!$H$7:$H$18</c:f>
              <c:numCache>
                <c:formatCode>General</c:formatCode>
                <c:ptCount val="12"/>
                <c:pt idx="0">
                  <c:v>14.930000000000001</c:v>
                </c:pt>
                <c:pt idx="1">
                  <c:v>43.622899999999994</c:v>
                </c:pt>
                <c:pt idx="2">
                  <c:v>13.887900000000002</c:v>
                </c:pt>
                <c:pt idx="3">
                  <c:v>43.832800000000006</c:v>
                </c:pt>
                <c:pt idx="4">
                  <c:v>9.6566999999999972</c:v>
                </c:pt>
                <c:pt idx="5">
                  <c:v>19.850100000000001</c:v>
                </c:pt>
                <c:pt idx="6">
                  <c:v>52.88630000000002</c:v>
                </c:pt>
                <c:pt idx="7">
                  <c:v>76.379499999999993</c:v>
                </c:pt>
                <c:pt idx="8">
                  <c:v>34.368599999999994</c:v>
                </c:pt>
                <c:pt idx="9">
                  <c:v>4.7638000000000007</c:v>
                </c:pt>
                <c:pt idx="10">
                  <c:v>0.62780000000000002</c:v>
                </c:pt>
                <c:pt idx="11">
                  <c:v>13.072399999999998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1D-4798-AF68-4C398CCD2747}"/>
            </c:ext>
          </c:extLst>
        </c:ser>
        <c:ser>
          <c:idx val="6"/>
          <c:order val="6"/>
          <c:tx>
            <c:strRef>
              <c:f>'GCM Val.'!$I$6</c:f>
              <c:strCache>
                <c:ptCount val="1"/>
                <c:pt idx="0">
                  <c:v> Obs. Rain  SGD</c:v>
                </c:pt>
              </c:strCache>
            </c:strRef>
          </c:tx>
          <c:spPr>
            <a:ln>
              <a:solidFill>
                <a:srgbClr val="000099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rgbClr val="FFFF00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Val.'!$I$7:$I$18</c:f>
              <c:numCache>
                <c:formatCode>General</c:formatCode>
                <c:ptCount val="12"/>
                <c:pt idx="0">
                  <c:v>20.57</c:v>
                </c:pt>
                <c:pt idx="1">
                  <c:v>29.740000000000002</c:v>
                </c:pt>
                <c:pt idx="2">
                  <c:v>28.080000000000002</c:v>
                </c:pt>
                <c:pt idx="3">
                  <c:v>22.7</c:v>
                </c:pt>
                <c:pt idx="4">
                  <c:v>31.96</c:v>
                </c:pt>
                <c:pt idx="5">
                  <c:v>60.089999999999989</c:v>
                </c:pt>
                <c:pt idx="6">
                  <c:v>152.70999999999998</c:v>
                </c:pt>
                <c:pt idx="7">
                  <c:v>88.669999999999973</c:v>
                </c:pt>
                <c:pt idx="8">
                  <c:v>43.95</c:v>
                </c:pt>
                <c:pt idx="9">
                  <c:v>7.05</c:v>
                </c:pt>
                <c:pt idx="10">
                  <c:v>4.6500000000000004</c:v>
                </c:pt>
                <c:pt idx="11">
                  <c:v>18.900000000000002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1D-4798-AF68-4C398CCD2747}"/>
            </c:ext>
          </c:extLst>
        </c:ser>
        <c:ser>
          <c:idx val="7"/>
          <c:order val="7"/>
          <c:tx>
            <c:strRef>
              <c:f>'GCM Val.'!$J$6</c:f>
              <c:strCache>
                <c:ptCount val="1"/>
                <c:pt idx="0">
                  <c:v> CanESM2 Rain SGD</c:v>
                </c:pt>
              </c:strCache>
            </c:strRef>
          </c:tx>
          <c:spPr>
            <a:ln>
              <a:solidFill>
                <a:srgbClr val="000099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Val.'!$J$7:$J$18</c:f>
              <c:numCache>
                <c:formatCode>General</c:formatCode>
                <c:ptCount val="12"/>
                <c:pt idx="0">
                  <c:v>36.783300000000018</c:v>
                </c:pt>
                <c:pt idx="1">
                  <c:v>21.327400000000001</c:v>
                </c:pt>
                <c:pt idx="2">
                  <c:v>38.270899999999983</c:v>
                </c:pt>
                <c:pt idx="3">
                  <c:v>62.748299999999993</c:v>
                </c:pt>
                <c:pt idx="4">
                  <c:v>0</c:v>
                </c:pt>
                <c:pt idx="5">
                  <c:v>76.820299999999989</c:v>
                </c:pt>
                <c:pt idx="6">
                  <c:v>172.27359999999999</c:v>
                </c:pt>
                <c:pt idx="7">
                  <c:v>243.48610000000008</c:v>
                </c:pt>
                <c:pt idx="8">
                  <c:v>5.7767999999999997</c:v>
                </c:pt>
                <c:pt idx="9">
                  <c:v>6.1181999999999999</c:v>
                </c:pt>
                <c:pt idx="10">
                  <c:v>5.9873999999999992</c:v>
                </c:pt>
                <c:pt idx="11">
                  <c:v>9.4460000000000015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1D-4798-AF68-4C398CCD2747}"/>
            </c:ext>
          </c:extLst>
        </c:ser>
        <c:ser>
          <c:idx val="8"/>
          <c:order val="8"/>
          <c:tx>
            <c:strRef>
              <c:f>'GCM Val.'!$K$6</c:f>
              <c:strCache>
                <c:ptCount val="1"/>
                <c:pt idx="0">
                  <c:v>NCEP Rain SGD</c:v>
                </c:pt>
              </c:strCache>
            </c:strRef>
          </c:tx>
          <c:spPr>
            <a:ln>
              <a:solidFill>
                <a:srgbClr val="000099"/>
              </a:solidFill>
              <a:prstDash val="sysDot"/>
            </a:ln>
          </c:spPr>
          <c:marker>
            <c:symbol val="circle"/>
            <c:size val="7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</c:spPr>
          </c:marker>
          <c:cat>
            <c:strRef>
              <c:f>'GCM Val.'!$B$7:$B$18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Val.'!$K$7:$K$18</c:f>
              <c:numCache>
                <c:formatCode>General</c:formatCode>
                <c:ptCount val="12"/>
                <c:pt idx="0">
                  <c:v>46.836500000000015</c:v>
                </c:pt>
                <c:pt idx="1">
                  <c:v>70.271800000000013</c:v>
                </c:pt>
                <c:pt idx="2">
                  <c:v>81.419499999999971</c:v>
                </c:pt>
                <c:pt idx="3">
                  <c:v>64.79819999999998</c:v>
                </c:pt>
                <c:pt idx="4">
                  <c:v>42.075499999999998</c:v>
                </c:pt>
                <c:pt idx="5">
                  <c:v>71.710999999999984</c:v>
                </c:pt>
                <c:pt idx="6">
                  <c:v>160.4836</c:v>
                </c:pt>
                <c:pt idx="7">
                  <c:v>56.97529999999999</c:v>
                </c:pt>
                <c:pt idx="8">
                  <c:v>0</c:v>
                </c:pt>
                <c:pt idx="9">
                  <c:v>0</c:v>
                </c:pt>
                <c:pt idx="10">
                  <c:v>41.606200000000001</c:v>
                </c:pt>
                <c:pt idx="11">
                  <c:v>31.4404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1D-4798-AF68-4C398CCD2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88224"/>
        <c:axId val="189985920"/>
      </c:lineChart>
      <c:valAx>
        <c:axId val="189985920"/>
        <c:scaling>
          <c:orientation val="minMax"/>
          <c:max val="27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Rainfall (mm)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89988224"/>
        <c:crosses val="autoZero"/>
        <c:crossBetween val="between"/>
        <c:majorUnit val="25"/>
        <c:minorUnit val="25"/>
      </c:valAx>
      <c:catAx>
        <c:axId val="189988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1400"/>
            </a:pPr>
            <a:endParaRPr lang="en-US"/>
          </a:p>
        </c:txPr>
        <c:crossAx val="189985920"/>
        <c:crosses val="autoZero"/>
        <c:auto val="0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1089652586183806"/>
          <c:y val="4.7508083060729664E-2"/>
          <c:w val="0.79799438311425686"/>
          <c:h val="0.15200884533419454"/>
        </c:manualLayout>
      </c:layout>
      <c:overlay val="0"/>
      <c:spPr>
        <a:noFill/>
        <a:ln>
          <a:solidFill>
            <a:schemeClr val="bg1"/>
          </a:solidFill>
        </a:ln>
      </c:spPr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tx1"/>
      </a:solidFill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8.1597259392101745E-2"/>
          <c:y val="0.19885753681391163"/>
          <c:w val="0.83387011519393406"/>
          <c:h val="0.649570576923181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'GCM Val.'!$C$48</c:f>
              <c:strCache>
                <c:ptCount val="1"/>
                <c:pt idx="0">
                  <c:v> Obs. Tmax  LHR</c:v>
                </c:pt>
              </c:strCache>
            </c:strRef>
          </c:tx>
          <c:spPr>
            <a:solidFill>
              <a:srgbClr val="00FFFF"/>
            </a:solidFill>
            <a:ln cmpd="sng">
              <a:solidFill>
                <a:schemeClr val="tx1"/>
              </a:solidFill>
            </a:ln>
          </c:spPr>
          <c:invertIfNegative val="0"/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Val.'!$C$49:$C$60</c:f>
              <c:numCache>
                <c:formatCode>General</c:formatCode>
                <c:ptCount val="12"/>
                <c:pt idx="0">
                  <c:v>18.142900000000001</c:v>
                </c:pt>
                <c:pt idx="1">
                  <c:v>22.128599999999999</c:v>
                </c:pt>
                <c:pt idx="2">
                  <c:v>27.6829</c:v>
                </c:pt>
                <c:pt idx="3">
                  <c:v>34.832000000000001</c:v>
                </c:pt>
                <c:pt idx="4">
                  <c:v>38.79</c:v>
                </c:pt>
                <c:pt idx="5">
                  <c:v>38.161700000000003</c:v>
                </c:pt>
                <c:pt idx="6">
                  <c:v>35.413899999999998</c:v>
                </c:pt>
                <c:pt idx="7">
                  <c:v>34.748100000000001</c:v>
                </c:pt>
                <c:pt idx="8">
                  <c:v>34.521999999999998</c:v>
                </c:pt>
                <c:pt idx="9">
                  <c:v>31.817699999999999</c:v>
                </c:pt>
                <c:pt idx="10">
                  <c:v>27.224699999999999</c:v>
                </c:pt>
                <c:pt idx="11">
                  <c:v>21.564800000000002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F-4122-815F-A84BFE35E205}"/>
            </c:ext>
          </c:extLst>
        </c:ser>
        <c:ser>
          <c:idx val="1"/>
          <c:order val="1"/>
          <c:tx>
            <c:strRef>
              <c:f>'GCM Val.'!$D$48</c:f>
              <c:strCache>
                <c:ptCount val="1"/>
                <c:pt idx="0">
                  <c:v> CanESM2 Tmax LHR 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00FFFF"/>
              </a:bgClr>
            </a:pattFill>
            <a:ln>
              <a:solidFill>
                <a:srgbClr val="C00000"/>
              </a:solidFill>
              <a:prstDash val="sysDash"/>
            </a:ln>
          </c:spPr>
          <c:invertIfNegative val="0"/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Val.'!$D$49:$D$60</c:f>
              <c:numCache>
                <c:formatCode>General</c:formatCode>
                <c:ptCount val="12"/>
                <c:pt idx="0">
                  <c:v>20.301206935483865</c:v>
                </c:pt>
                <c:pt idx="1">
                  <c:v>22.738810070671395</c:v>
                </c:pt>
                <c:pt idx="2">
                  <c:v>26.95014064516127</c:v>
                </c:pt>
                <c:pt idx="3">
                  <c:v>33.27971749999999</c:v>
                </c:pt>
                <c:pt idx="4">
                  <c:v>39.337359516129062</c:v>
                </c:pt>
                <c:pt idx="5">
                  <c:v>41.323451833333337</c:v>
                </c:pt>
                <c:pt idx="6">
                  <c:v>36.046966290322565</c:v>
                </c:pt>
                <c:pt idx="7">
                  <c:v>35.127331451612903</c:v>
                </c:pt>
                <c:pt idx="8">
                  <c:v>34.666449</c:v>
                </c:pt>
                <c:pt idx="9">
                  <c:v>31.278957258064523</c:v>
                </c:pt>
                <c:pt idx="10">
                  <c:v>27.579805666666658</c:v>
                </c:pt>
                <c:pt idx="11">
                  <c:v>22.589782943143803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BF-4122-815F-A84BFE35E205}"/>
            </c:ext>
          </c:extLst>
        </c:ser>
        <c:ser>
          <c:idx val="2"/>
          <c:order val="2"/>
          <c:tx>
            <c:strRef>
              <c:f>'GCM Val.'!$E$48</c:f>
              <c:strCache>
                <c:ptCount val="1"/>
                <c:pt idx="0">
                  <c:v>NCEP Tmax LHR </c:v>
                </c:pt>
              </c:strCache>
            </c:strRef>
          </c:tx>
          <c:spPr>
            <a:pattFill prst="pct60">
              <a:fgClr>
                <a:schemeClr val="tx1"/>
              </a:fgClr>
              <a:bgClr>
                <a:srgbClr val="00FFFF"/>
              </a:bgClr>
            </a:pattFill>
            <a:ln cmpd="sng">
              <a:solidFill>
                <a:srgbClr val="FFFF00"/>
              </a:solidFill>
              <a:prstDash val="sysDot"/>
            </a:ln>
          </c:spPr>
          <c:invertIfNegative val="0"/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Val.'!$E$49:$E$60</c:f>
              <c:numCache>
                <c:formatCode>General</c:formatCode>
                <c:ptCount val="12"/>
                <c:pt idx="0">
                  <c:v>20.096513709677421</c:v>
                </c:pt>
                <c:pt idx="1">
                  <c:v>22.95619628975264</c:v>
                </c:pt>
                <c:pt idx="2">
                  <c:v>26.808556935483871</c:v>
                </c:pt>
                <c:pt idx="3">
                  <c:v>33.149544333333345</c:v>
                </c:pt>
                <c:pt idx="4">
                  <c:v>39.480089354838704</c:v>
                </c:pt>
                <c:pt idx="5">
                  <c:v>41.090337499999997</c:v>
                </c:pt>
                <c:pt idx="6">
                  <c:v>36.10730661290323</c:v>
                </c:pt>
                <c:pt idx="7">
                  <c:v>35.644198225806434</c:v>
                </c:pt>
                <c:pt idx="8">
                  <c:v>34.924275833333326</c:v>
                </c:pt>
                <c:pt idx="9">
                  <c:v>33.374312258064499</c:v>
                </c:pt>
                <c:pt idx="10">
                  <c:v>28.593778166666642</c:v>
                </c:pt>
                <c:pt idx="11">
                  <c:v>22.541041304347821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BF-4122-815F-A84BFE35E205}"/>
            </c:ext>
          </c:extLst>
        </c:ser>
        <c:ser>
          <c:idx val="3"/>
          <c:order val="3"/>
          <c:tx>
            <c:strRef>
              <c:f>'GCM Val.'!$F$48</c:f>
              <c:strCache>
                <c:ptCount val="1"/>
                <c:pt idx="0">
                  <c:v> Obs. Tmax  FSD</c:v>
                </c:pt>
              </c:strCache>
            </c:strRef>
          </c:tx>
          <c:spPr>
            <a:solidFill>
              <a:srgbClr val="FF0066"/>
            </a:solidFill>
            <a:ln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Val.'!$F$49:$F$60</c:f>
              <c:numCache>
                <c:formatCode>0.00</c:formatCode>
                <c:ptCount val="12"/>
                <c:pt idx="0">
                  <c:v>18.230967741935462</c:v>
                </c:pt>
                <c:pt idx="1">
                  <c:v>22.104240282685513</c:v>
                </c:pt>
                <c:pt idx="2">
                  <c:v>27.755161290322576</c:v>
                </c:pt>
                <c:pt idx="3">
                  <c:v>35.155000000000008</c:v>
                </c:pt>
                <c:pt idx="4">
                  <c:v>39.424193548387109</c:v>
                </c:pt>
                <c:pt idx="5">
                  <c:v>39.597666666666669</c:v>
                </c:pt>
                <c:pt idx="6">
                  <c:v>37.498387096774209</c:v>
                </c:pt>
                <c:pt idx="7">
                  <c:v>36.734838709677426</c:v>
                </c:pt>
                <c:pt idx="8">
                  <c:v>35.751666666666665</c:v>
                </c:pt>
                <c:pt idx="9">
                  <c:v>32.709354838709665</c:v>
                </c:pt>
                <c:pt idx="10">
                  <c:v>27.419333333333331</c:v>
                </c:pt>
                <c:pt idx="11">
                  <c:v>21.780645161290312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BF-4122-815F-A84BFE35E205}"/>
            </c:ext>
          </c:extLst>
        </c:ser>
        <c:ser>
          <c:idx val="4"/>
          <c:order val="4"/>
          <c:tx>
            <c:strRef>
              <c:f>'GCM Val.'!$G$48</c:f>
              <c:strCache>
                <c:ptCount val="1"/>
                <c:pt idx="0">
                  <c:v> CanESM2 Tmax FSD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FF0066"/>
              </a:bgClr>
            </a:pattFill>
            <a:ln cmpd="sng">
              <a:solidFill>
                <a:srgbClr val="FF0000"/>
              </a:solidFill>
              <a:prstDash val="sysDash"/>
            </a:ln>
          </c:spPr>
          <c:invertIfNegative val="0"/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Val.'!$G$49:$G$60</c:f>
              <c:numCache>
                <c:formatCode>0.00</c:formatCode>
                <c:ptCount val="12"/>
                <c:pt idx="0">
                  <c:v>19.536076129032264</c:v>
                </c:pt>
                <c:pt idx="1">
                  <c:v>22.328670318021196</c:v>
                </c:pt>
                <c:pt idx="2">
                  <c:v>26.301891774193546</c:v>
                </c:pt>
                <c:pt idx="3">
                  <c:v>32.360205499999999</c:v>
                </c:pt>
                <c:pt idx="4">
                  <c:v>39.676365322580629</c:v>
                </c:pt>
                <c:pt idx="5">
                  <c:v>41.429400000000001</c:v>
                </c:pt>
                <c:pt idx="6">
                  <c:v>37.385270806451608</c:v>
                </c:pt>
                <c:pt idx="7">
                  <c:v>36.720998548387101</c:v>
                </c:pt>
                <c:pt idx="8">
                  <c:v>35.762554333333362</c:v>
                </c:pt>
                <c:pt idx="9">
                  <c:v>32.58263677419356</c:v>
                </c:pt>
                <c:pt idx="10">
                  <c:v>27.677763833333337</c:v>
                </c:pt>
                <c:pt idx="11">
                  <c:v>22.059992096774184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BF-4122-815F-A84BFE35E205}"/>
            </c:ext>
          </c:extLst>
        </c:ser>
        <c:ser>
          <c:idx val="5"/>
          <c:order val="5"/>
          <c:tx>
            <c:strRef>
              <c:f>'GCM Val.'!$H$48</c:f>
              <c:strCache>
                <c:ptCount val="1"/>
                <c:pt idx="0">
                  <c:v>NCEP Tmax FSD</c:v>
                </c:pt>
              </c:strCache>
            </c:strRef>
          </c:tx>
          <c:spPr>
            <a:pattFill prst="pct60">
              <a:fgClr>
                <a:schemeClr val="tx1"/>
              </a:fgClr>
              <a:bgClr>
                <a:srgbClr val="FF0066"/>
              </a:bgClr>
            </a:pattFill>
            <a:ln cmpd="sng">
              <a:solidFill>
                <a:srgbClr val="FFFF00"/>
              </a:solidFill>
              <a:prstDash val="sysDot"/>
            </a:ln>
          </c:spPr>
          <c:invertIfNegative val="0"/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Val.'!$H$49:$H$60</c:f>
              <c:numCache>
                <c:formatCode>0.00</c:formatCode>
                <c:ptCount val="12"/>
                <c:pt idx="0">
                  <c:v>19.528945322580633</c:v>
                </c:pt>
                <c:pt idx="1">
                  <c:v>22.286457950530032</c:v>
                </c:pt>
                <c:pt idx="2">
                  <c:v>26.354094677419351</c:v>
                </c:pt>
                <c:pt idx="3">
                  <c:v>32.390475166666647</c:v>
                </c:pt>
                <c:pt idx="4">
                  <c:v>39.589246451612901</c:v>
                </c:pt>
                <c:pt idx="5">
                  <c:v>41.521354166666697</c:v>
                </c:pt>
                <c:pt idx="6">
                  <c:v>37.295053709677404</c:v>
                </c:pt>
                <c:pt idx="7">
                  <c:v>36.716080967741938</c:v>
                </c:pt>
                <c:pt idx="8">
                  <c:v>35.703713000000022</c:v>
                </c:pt>
                <c:pt idx="9">
                  <c:v>32.589766612903212</c:v>
                </c:pt>
                <c:pt idx="10">
                  <c:v>27.651858166666649</c:v>
                </c:pt>
                <c:pt idx="11">
                  <c:v>22.029813043478239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BF-4122-815F-A84BFE35E205}"/>
            </c:ext>
          </c:extLst>
        </c:ser>
        <c:ser>
          <c:idx val="6"/>
          <c:order val="6"/>
          <c:tx>
            <c:strRef>
              <c:f>'GCM Val.'!$I$48</c:f>
              <c:strCache>
                <c:ptCount val="1"/>
                <c:pt idx="0">
                  <c:v> Obs. Tmax  SGD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Val.'!$I$49:$I$60</c:f>
              <c:numCache>
                <c:formatCode>0.00</c:formatCode>
                <c:ptCount val="12"/>
                <c:pt idx="0">
                  <c:v>19.691397849462362</c:v>
                </c:pt>
                <c:pt idx="1">
                  <c:v>23.641666666666662</c:v>
                </c:pt>
                <c:pt idx="2">
                  <c:v>28.526881720430104</c:v>
                </c:pt>
                <c:pt idx="3">
                  <c:v>35.149999999999991</c:v>
                </c:pt>
                <c:pt idx="4">
                  <c:v>38.939784946236557</c:v>
                </c:pt>
                <c:pt idx="5">
                  <c:v>40.111111111111107</c:v>
                </c:pt>
                <c:pt idx="6">
                  <c:v>36.777419354838706</c:v>
                </c:pt>
                <c:pt idx="7">
                  <c:v>36.931182795698923</c:v>
                </c:pt>
                <c:pt idx="8">
                  <c:v>36.323333333333338</c:v>
                </c:pt>
                <c:pt idx="9">
                  <c:v>33.081720430107517</c:v>
                </c:pt>
                <c:pt idx="10">
                  <c:v>25.795555555555556</c:v>
                </c:pt>
                <c:pt idx="11">
                  <c:v>20.819354838709668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BF-4122-815F-A84BFE35E205}"/>
            </c:ext>
          </c:extLst>
        </c:ser>
        <c:ser>
          <c:idx val="7"/>
          <c:order val="7"/>
          <c:tx>
            <c:strRef>
              <c:f>'GCM Val.'!$J$48</c:f>
              <c:strCache>
                <c:ptCount val="1"/>
                <c:pt idx="0">
                  <c:v> CanESM2 Tmax SGD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00FF00"/>
              </a:bgClr>
            </a:pattFill>
            <a:ln>
              <a:solidFill>
                <a:srgbClr val="FF0000"/>
              </a:solidFill>
              <a:prstDash val="sysDash"/>
            </a:ln>
          </c:spPr>
          <c:invertIfNegative val="0"/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Val.'!$J$49:$J$60</c:f>
              <c:numCache>
                <c:formatCode>0.00</c:formatCode>
                <c:ptCount val="12"/>
                <c:pt idx="0">
                  <c:v>17.723372580645158</c:v>
                </c:pt>
                <c:pt idx="1">
                  <c:v>21.605060714285706</c:v>
                </c:pt>
                <c:pt idx="2">
                  <c:v>28.205601075268817</c:v>
                </c:pt>
                <c:pt idx="3">
                  <c:v>35.018463888888888</c:v>
                </c:pt>
                <c:pt idx="4">
                  <c:v>39.786527419354826</c:v>
                </c:pt>
                <c:pt idx="5">
                  <c:v>41.965032222222227</c:v>
                </c:pt>
                <c:pt idx="6">
                  <c:v>37.459442473118294</c:v>
                </c:pt>
                <c:pt idx="7">
                  <c:v>36.339161827956993</c:v>
                </c:pt>
                <c:pt idx="8">
                  <c:v>35.307572222222213</c:v>
                </c:pt>
                <c:pt idx="9">
                  <c:v>31.674990322580648</c:v>
                </c:pt>
                <c:pt idx="10">
                  <c:v>27.19320500000001</c:v>
                </c:pt>
                <c:pt idx="11">
                  <c:v>22.371755376344094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BF-4122-815F-A84BFE35E205}"/>
            </c:ext>
          </c:extLst>
        </c:ser>
        <c:ser>
          <c:idx val="8"/>
          <c:order val="8"/>
          <c:tx>
            <c:strRef>
              <c:f>'GCM Val.'!$K$48</c:f>
              <c:strCache>
                <c:ptCount val="1"/>
                <c:pt idx="0">
                  <c:v>NCEP Tmax SGD</c:v>
                </c:pt>
              </c:strCache>
            </c:strRef>
          </c:tx>
          <c:spPr>
            <a:pattFill prst="pct60">
              <a:fgClr>
                <a:schemeClr val="tx1"/>
              </a:fgClr>
              <a:bgClr>
                <a:srgbClr val="00FF00"/>
              </a:bgClr>
            </a:pattFill>
            <a:ln>
              <a:solidFill>
                <a:srgbClr val="FFFF00"/>
              </a:solidFill>
              <a:prstDash val="sysDot"/>
            </a:ln>
          </c:spPr>
          <c:invertIfNegative val="0"/>
          <c:cat>
            <c:strRef>
              <c:f>'GCM Val.'!$B$49:$B$60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Val.'!$K$49:$K$60</c:f>
              <c:numCache>
                <c:formatCode>0.00</c:formatCode>
                <c:ptCount val="12"/>
                <c:pt idx="0">
                  <c:v>19.368319354838714</c:v>
                </c:pt>
                <c:pt idx="1">
                  <c:v>21.879146428571431</c:v>
                </c:pt>
                <c:pt idx="2">
                  <c:v>27.273317741935497</c:v>
                </c:pt>
                <c:pt idx="3">
                  <c:v>32.943641111111134</c:v>
                </c:pt>
                <c:pt idx="4">
                  <c:v>39.991992473118266</c:v>
                </c:pt>
                <c:pt idx="5">
                  <c:v>41.107677777777788</c:v>
                </c:pt>
                <c:pt idx="6">
                  <c:v>36.596673655913989</c:v>
                </c:pt>
                <c:pt idx="7">
                  <c:v>35.720795161290333</c:v>
                </c:pt>
                <c:pt idx="8">
                  <c:v>35.283180555555546</c:v>
                </c:pt>
                <c:pt idx="9">
                  <c:v>33.74814139784948</c:v>
                </c:pt>
                <c:pt idx="10">
                  <c:v>27.947788333333353</c:v>
                </c:pt>
                <c:pt idx="11">
                  <c:v>22.497391397849462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BF-4122-815F-A84BFE35E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070784"/>
        <c:axId val="190048128"/>
      </c:barChart>
      <c:valAx>
        <c:axId val="190048128"/>
        <c:scaling>
          <c:orientation val="minMax"/>
          <c:max val="4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Tmax (°C)</a:t>
                </a:r>
              </a:p>
            </c:rich>
          </c:tx>
          <c:overlay val="0"/>
        </c:title>
        <c:numFmt formatCode="0" sourceLinked="0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90070784"/>
        <c:crosses val="autoZero"/>
        <c:crossBetween val="between"/>
        <c:majorUnit val="5"/>
        <c:minorUnit val="1"/>
      </c:valAx>
      <c:catAx>
        <c:axId val="190070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1400"/>
            </a:pPr>
            <a:endParaRPr lang="en-US"/>
          </a:p>
        </c:txPr>
        <c:crossAx val="190048128"/>
        <c:crosses val="autoZero"/>
        <c:auto val="0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9.2805170726592029E-2"/>
          <c:y val="4.1130503633316433E-2"/>
          <c:w val="0.83223667543023661"/>
          <c:h val="0.16663409937209961"/>
        </c:manualLayout>
      </c:layout>
      <c:overlay val="0"/>
      <c:spPr>
        <a:noFill/>
        <a:ln>
          <a:solidFill>
            <a:schemeClr val="bg1"/>
          </a:solidFill>
        </a:ln>
      </c:spPr>
      <c:txPr>
        <a:bodyPr/>
        <a:lstStyle/>
        <a:p>
          <a:pPr>
            <a:defRPr sz="16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tx1"/>
      </a:solidFill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>
        <c:manualLayout>
          <c:layoutTarget val="inner"/>
          <c:xMode val="edge"/>
          <c:yMode val="edge"/>
          <c:x val="8.1597259392101745E-2"/>
          <c:y val="0.19885753681391163"/>
          <c:w val="0.83387011519393406"/>
          <c:h val="0.649570576923181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'GCM Val.'!$C$88</c:f>
              <c:strCache>
                <c:ptCount val="1"/>
                <c:pt idx="0">
                  <c:v> Obs. Tmin  LHR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chemeClr val="tx1"/>
              </a:solidFill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Val.'!$C$89:$C$100</c:f>
              <c:numCache>
                <c:formatCode>0.00</c:formatCode>
                <c:ptCount val="12"/>
                <c:pt idx="0">
                  <c:v>7.7854799999999997</c:v>
                </c:pt>
                <c:pt idx="1">
                  <c:v>10.992599999999999</c:v>
                </c:pt>
                <c:pt idx="2">
                  <c:v>16.088100000000001</c:v>
                </c:pt>
                <c:pt idx="3">
                  <c:v>21.712700000000002</c:v>
                </c:pt>
                <c:pt idx="4">
                  <c:v>25.798100000000002</c:v>
                </c:pt>
                <c:pt idx="5">
                  <c:v>27.521699999999999</c:v>
                </c:pt>
                <c:pt idx="6">
                  <c:v>27.3294</c:v>
                </c:pt>
                <c:pt idx="7">
                  <c:v>27.1784</c:v>
                </c:pt>
                <c:pt idx="8">
                  <c:v>25.53</c:v>
                </c:pt>
                <c:pt idx="9">
                  <c:v>20.284500000000001</c:v>
                </c:pt>
                <c:pt idx="10">
                  <c:v>13.9597</c:v>
                </c:pt>
                <c:pt idx="11">
                  <c:v>9.17774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D-4FF4-8363-AF29FAE98675}"/>
            </c:ext>
          </c:extLst>
        </c:ser>
        <c:ser>
          <c:idx val="1"/>
          <c:order val="1"/>
          <c:tx>
            <c:strRef>
              <c:f>'GCM Val.'!$D$88</c:f>
              <c:strCache>
                <c:ptCount val="1"/>
                <c:pt idx="0">
                  <c:v> CanESM2 Tmin LHR 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FF0000"/>
              </a:bgClr>
            </a:pattFill>
            <a:ln>
              <a:solidFill>
                <a:srgbClr val="C00000"/>
              </a:solidFill>
              <a:prstDash val="sysDash"/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Val.'!$D$89:$D$100</c:f>
              <c:numCache>
                <c:formatCode>0.00</c:formatCode>
                <c:ptCount val="12"/>
                <c:pt idx="0">
                  <c:v>7.2674500000000002</c:v>
                </c:pt>
                <c:pt idx="1">
                  <c:v>9.9807100000000002</c:v>
                </c:pt>
                <c:pt idx="2">
                  <c:v>14.4192</c:v>
                </c:pt>
                <c:pt idx="3">
                  <c:v>19.478999999999999</c:v>
                </c:pt>
                <c:pt idx="4">
                  <c:v>24.352399999999999</c:v>
                </c:pt>
                <c:pt idx="5">
                  <c:v>27.4069</c:v>
                </c:pt>
                <c:pt idx="6">
                  <c:v>27.060500000000001</c:v>
                </c:pt>
                <c:pt idx="7">
                  <c:v>26.737100000000002</c:v>
                </c:pt>
                <c:pt idx="8">
                  <c:v>24.782499999999999</c:v>
                </c:pt>
                <c:pt idx="9">
                  <c:v>18.352599999999999</c:v>
                </c:pt>
                <c:pt idx="10">
                  <c:v>12.581300000000001</c:v>
                </c:pt>
                <c:pt idx="11">
                  <c:v>8.2400400000000005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D-4FF4-8363-AF29FAE98675}"/>
            </c:ext>
          </c:extLst>
        </c:ser>
        <c:ser>
          <c:idx val="2"/>
          <c:order val="2"/>
          <c:tx>
            <c:strRef>
              <c:f>'GCM Val.'!$E$88</c:f>
              <c:strCache>
                <c:ptCount val="1"/>
                <c:pt idx="0">
                  <c:v>NCEP Tmin LHR </c:v>
                </c:pt>
              </c:strCache>
            </c:strRef>
          </c:tx>
          <c:spPr>
            <a:pattFill prst="pct60">
              <a:fgClr>
                <a:schemeClr val="tx1"/>
              </a:fgClr>
              <a:bgClr>
                <a:srgbClr val="FF0000"/>
              </a:bgClr>
            </a:pattFill>
            <a:ln cmpd="sng">
              <a:solidFill>
                <a:srgbClr val="FFFF00"/>
              </a:solidFill>
              <a:prstDash val="sysDot"/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Val.'!$E$89:$E$100</c:f>
              <c:numCache>
                <c:formatCode>0.00</c:formatCode>
                <c:ptCount val="12"/>
                <c:pt idx="0">
                  <c:v>8.0577699999999997</c:v>
                </c:pt>
                <c:pt idx="1">
                  <c:v>9.9557500000000001</c:v>
                </c:pt>
                <c:pt idx="2">
                  <c:v>13.7742</c:v>
                </c:pt>
                <c:pt idx="3">
                  <c:v>19.050999999999998</c:v>
                </c:pt>
                <c:pt idx="4">
                  <c:v>24.962800000000001</c:v>
                </c:pt>
                <c:pt idx="5">
                  <c:v>27.419499999999999</c:v>
                </c:pt>
                <c:pt idx="6">
                  <c:v>27.412400000000002</c:v>
                </c:pt>
                <c:pt idx="7">
                  <c:v>27.2349</c:v>
                </c:pt>
                <c:pt idx="8">
                  <c:v>24.4861</c:v>
                </c:pt>
                <c:pt idx="9">
                  <c:v>17.6784</c:v>
                </c:pt>
                <c:pt idx="10">
                  <c:v>12.6067</c:v>
                </c:pt>
                <c:pt idx="11">
                  <c:v>8.4899400000000007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9D-4FF4-8363-AF29FAE98675}"/>
            </c:ext>
          </c:extLst>
        </c:ser>
        <c:ser>
          <c:idx val="3"/>
          <c:order val="3"/>
          <c:tx>
            <c:strRef>
              <c:f>'GCM Val.'!$F$88</c:f>
              <c:strCache>
                <c:ptCount val="1"/>
                <c:pt idx="0">
                  <c:v> Obs. Tmin  FSD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Val.'!$F$89:$F$100</c:f>
              <c:numCache>
                <c:formatCode>0.00</c:formatCode>
                <c:ptCount val="12"/>
                <c:pt idx="0">
                  <c:v>4.96</c:v>
                </c:pt>
                <c:pt idx="1">
                  <c:v>7.51661</c:v>
                </c:pt>
                <c:pt idx="2">
                  <c:v>13.197699999999999</c:v>
                </c:pt>
                <c:pt idx="3">
                  <c:v>19.0123</c:v>
                </c:pt>
                <c:pt idx="4">
                  <c:v>23.971</c:v>
                </c:pt>
                <c:pt idx="5">
                  <c:v>26.838699999999999</c:v>
                </c:pt>
                <c:pt idx="6">
                  <c:v>27.6784</c:v>
                </c:pt>
                <c:pt idx="7">
                  <c:v>26.967099999999999</c:v>
                </c:pt>
                <c:pt idx="8">
                  <c:v>24.4313</c:v>
                </c:pt>
                <c:pt idx="9">
                  <c:v>18.091000000000001</c:v>
                </c:pt>
                <c:pt idx="10">
                  <c:v>10.9733</c:v>
                </c:pt>
                <c:pt idx="11">
                  <c:v>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9D-4FF4-8363-AF29FAE98675}"/>
            </c:ext>
          </c:extLst>
        </c:ser>
        <c:ser>
          <c:idx val="4"/>
          <c:order val="4"/>
          <c:tx>
            <c:strRef>
              <c:f>'GCM Val.'!$G$88</c:f>
              <c:strCache>
                <c:ptCount val="1"/>
                <c:pt idx="0">
                  <c:v> CanESM2 Tmin FSD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FFC000"/>
              </a:bgClr>
            </a:pattFill>
            <a:ln cmpd="sng">
              <a:solidFill>
                <a:srgbClr val="FF0000"/>
              </a:solidFill>
              <a:prstDash val="sysDash"/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Val.'!$G$89:$G$100</c:f>
              <c:numCache>
                <c:formatCode>0.00</c:formatCode>
                <c:ptCount val="12"/>
                <c:pt idx="0">
                  <c:v>4.9322900000000001</c:v>
                </c:pt>
                <c:pt idx="1">
                  <c:v>7.5721699999999998</c:v>
                </c:pt>
                <c:pt idx="2">
                  <c:v>12.408099999999999</c:v>
                </c:pt>
                <c:pt idx="3">
                  <c:v>17.5793</c:v>
                </c:pt>
                <c:pt idx="4">
                  <c:v>23.350100000000001</c:v>
                </c:pt>
                <c:pt idx="5">
                  <c:v>26.762</c:v>
                </c:pt>
                <c:pt idx="6">
                  <c:v>27.1953</c:v>
                </c:pt>
                <c:pt idx="7">
                  <c:v>26.819099999999999</c:v>
                </c:pt>
                <c:pt idx="8">
                  <c:v>23.930700000000002</c:v>
                </c:pt>
                <c:pt idx="9">
                  <c:v>17.002800000000001</c:v>
                </c:pt>
                <c:pt idx="10">
                  <c:v>12.427199999999999</c:v>
                </c:pt>
                <c:pt idx="11">
                  <c:v>6.1480199999999998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9D-4FF4-8363-AF29FAE98675}"/>
            </c:ext>
          </c:extLst>
        </c:ser>
        <c:ser>
          <c:idx val="5"/>
          <c:order val="5"/>
          <c:tx>
            <c:strRef>
              <c:f>'GCM Val.'!$H$88</c:f>
              <c:strCache>
                <c:ptCount val="1"/>
                <c:pt idx="0">
                  <c:v>NCEP Tmin FSD</c:v>
                </c:pt>
              </c:strCache>
            </c:strRef>
          </c:tx>
          <c:spPr>
            <a:pattFill prst="pct60">
              <a:fgClr>
                <a:schemeClr val="tx1"/>
              </a:fgClr>
              <a:bgClr>
                <a:srgbClr val="FFC000"/>
              </a:bgClr>
            </a:pattFill>
            <a:ln cmpd="sng">
              <a:solidFill>
                <a:srgbClr val="FFFF00"/>
              </a:solidFill>
              <a:prstDash val="sysDot"/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Val.'!$H$89:$H$100</c:f>
              <c:numCache>
                <c:formatCode>0.00</c:formatCode>
                <c:ptCount val="12"/>
                <c:pt idx="0">
                  <c:v>5.9475199999999999</c:v>
                </c:pt>
                <c:pt idx="1">
                  <c:v>7.3773200000000001</c:v>
                </c:pt>
                <c:pt idx="2">
                  <c:v>11.885199999999999</c:v>
                </c:pt>
                <c:pt idx="3">
                  <c:v>17.122800000000002</c:v>
                </c:pt>
                <c:pt idx="4">
                  <c:v>22.973700000000001</c:v>
                </c:pt>
                <c:pt idx="5">
                  <c:v>26.5137</c:v>
                </c:pt>
                <c:pt idx="6">
                  <c:v>27.222799999999999</c:v>
                </c:pt>
                <c:pt idx="7">
                  <c:v>26.421199999999999</c:v>
                </c:pt>
                <c:pt idx="8">
                  <c:v>23.3797</c:v>
                </c:pt>
                <c:pt idx="9">
                  <c:v>16.2258</c:v>
                </c:pt>
                <c:pt idx="10">
                  <c:v>13.0116</c:v>
                </c:pt>
                <c:pt idx="11">
                  <c:v>6.5591900000000001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9D-4FF4-8363-AF29FAE98675}"/>
            </c:ext>
          </c:extLst>
        </c:ser>
        <c:ser>
          <c:idx val="6"/>
          <c:order val="6"/>
          <c:tx>
            <c:strRef>
              <c:f>'GCM Val.'!$I$88</c:f>
              <c:strCache>
                <c:ptCount val="1"/>
                <c:pt idx="0">
                  <c:v> Obs. Tmin  SGD</c:v>
                </c:pt>
              </c:strCache>
            </c:strRef>
          </c:tx>
          <c:spPr>
            <a:solidFill>
              <a:srgbClr val="990099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Val.'!$I$89:$I$100</c:f>
              <c:numCache>
                <c:formatCode>0.00</c:formatCode>
                <c:ptCount val="12"/>
                <c:pt idx="0">
                  <c:v>7.7854799999999997</c:v>
                </c:pt>
                <c:pt idx="1">
                  <c:v>10.992599999999999</c:v>
                </c:pt>
                <c:pt idx="2">
                  <c:v>16.088100000000001</c:v>
                </c:pt>
                <c:pt idx="3">
                  <c:v>21.712700000000002</c:v>
                </c:pt>
                <c:pt idx="4">
                  <c:v>25.798100000000002</c:v>
                </c:pt>
                <c:pt idx="5">
                  <c:v>27.521699999999999</c:v>
                </c:pt>
                <c:pt idx="6">
                  <c:v>27.3294</c:v>
                </c:pt>
                <c:pt idx="7">
                  <c:v>27.1784</c:v>
                </c:pt>
                <c:pt idx="8">
                  <c:v>25.53</c:v>
                </c:pt>
                <c:pt idx="9">
                  <c:v>20.284500000000001</c:v>
                </c:pt>
                <c:pt idx="10">
                  <c:v>13.9597</c:v>
                </c:pt>
                <c:pt idx="11">
                  <c:v>9.17774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9D-4FF4-8363-AF29FAE98675}"/>
            </c:ext>
          </c:extLst>
        </c:ser>
        <c:ser>
          <c:idx val="7"/>
          <c:order val="7"/>
          <c:tx>
            <c:strRef>
              <c:f>'GCM Val.'!$J$88</c:f>
              <c:strCache>
                <c:ptCount val="1"/>
                <c:pt idx="0">
                  <c:v> CanESM2 Tmin SGD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990099"/>
              </a:bgClr>
            </a:pattFill>
            <a:ln>
              <a:solidFill>
                <a:srgbClr val="FF0000"/>
              </a:solidFill>
              <a:prstDash val="sysDash"/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Val.'!$J$89:$J$100</c:f>
              <c:numCache>
                <c:formatCode>0.00</c:formatCode>
                <c:ptCount val="12"/>
                <c:pt idx="0">
                  <c:v>7.2674500000000002</c:v>
                </c:pt>
                <c:pt idx="1">
                  <c:v>9.9807100000000002</c:v>
                </c:pt>
                <c:pt idx="2">
                  <c:v>14.4192</c:v>
                </c:pt>
                <c:pt idx="3">
                  <c:v>19.478999999999999</c:v>
                </c:pt>
                <c:pt idx="4">
                  <c:v>24.352399999999999</c:v>
                </c:pt>
                <c:pt idx="5">
                  <c:v>27.4069</c:v>
                </c:pt>
                <c:pt idx="6">
                  <c:v>27.060500000000001</c:v>
                </c:pt>
                <c:pt idx="7">
                  <c:v>26.737100000000002</c:v>
                </c:pt>
                <c:pt idx="8">
                  <c:v>24.782499999999999</c:v>
                </c:pt>
                <c:pt idx="9">
                  <c:v>18.352599999999999</c:v>
                </c:pt>
                <c:pt idx="10">
                  <c:v>12.581300000000001</c:v>
                </c:pt>
                <c:pt idx="11">
                  <c:v>8.2400400000000005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9D-4FF4-8363-AF29FAE98675}"/>
            </c:ext>
          </c:extLst>
        </c:ser>
        <c:ser>
          <c:idx val="8"/>
          <c:order val="8"/>
          <c:tx>
            <c:strRef>
              <c:f>'GCM Val.'!$K$88</c:f>
              <c:strCache>
                <c:ptCount val="1"/>
                <c:pt idx="0">
                  <c:v>NCEP Tmin SGD</c:v>
                </c:pt>
              </c:strCache>
            </c:strRef>
          </c:tx>
          <c:spPr>
            <a:pattFill prst="pct60">
              <a:fgClr>
                <a:schemeClr val="tx1"/>
              </a:fgClr>
              <a:bgClr>
                <a:srgbClr val="990099"/>
              </a:bgClr>
            </a:pattFill>
            <a:ln>
              <a:solidFill>
                <a:srgbClr val="FFFF00"/>
              </a:solidFill>
              <a:prstDash val="sysDot"/>
            </a:ln>
          </c:spPr>
          <c:invertIfNegative val="0"/>
          <c:cat>
            <c:strRef>
              <c:f>'GCM Val.'!$B$89:$B$100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'GCM Val.'!$K$89:$K$100</c:f>
              <c:numCache>
                <c:formatCode>0.00</c:formatCode>
                <c:ptCount val="12"/>
                <c:pt idx="0">
                  <c:v>8.0577699999999997</c:v>
                </c:pt>
                <c:pt idx="1">
                  <c:v>9.9557500000000001</c:v>
                </c:pt>
                <c:pt idx="2">
                  <c:v>13.7742</c:v>
                </c:pt>
                <c:pt idx="3">
                  <c:v>19.050999999999998</c:v>
                </c:pt>
                <c:pt idx="4">
                  <c:v>24.962800000000001</c:v>
                </c:pt>
                <c:pt idx="5">
                  <c:v>27.419499999999999</c:v>
                </c:pt>
                <c:pt idx="6">
                  <c:v>27.412400000000002</c:v>
                </c:pt>
                <c:pt idx="7">
                  <c:v>27.2349</c:v>
                </c:pt>
                <c:pt idx="8">
                  <c:v>24.4861</c:v>
                </c:pt>
                <c:pt idx="9">
                  <c:v>17.6784</c:v>
                </c:pt>
                <c:pt idx="10">
                  <c:v>12.6067</c:v>
                </c:pt>
                <c:pt idx="11">
                  <c:v>8.4899400000000007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9D-4FF4-8363-AF29FAE98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185856"/>
        <c:axId val="190109952"/>
      </c:barChart>
      <c:valAx>
        <c:axId val="190109952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Tmin (°C)</a:t>
                </a:r>
              </a:p>
            </c:rich>
          </c:tx>
          <c:overlay val="0"/>
        </c:title>
        <c:numFmt formatCode="0" sourceLinked="0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90185856"/>
        <c:crosses val="autoZero"/>
        <c:crossBetween val="between"/>
        <c:majorUnit val="5"/>
        <c:minorUnit val="1"/>
      </c:valAx>
      <c:catAx>
        <c:axId val="190185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1400"/>
            </a:pPr>
            <a:endParaRPr lang="en-US"/>
          </a:p>
        </c:txPr>
        <c:crossAx val="190109952"/>
        <c:crosses val="autoZero"/>
        <c:auto val="0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0399644522499493"/>
          <c:y val="3.2708682446180533E-2"/>
          <c:w val="0.81265183549736719"/>
          <c:h val="0.17224860393543984"/>
        </c:manualLayout>
      </c:layout>
      <c:overlay val="0"/>
      <c:spPr>
        <a:noFill/>
        <a:ln>
          <a:solidFill>
            <a:schemeClr val="bg1"/>
          </a:solidFill>
        </a:ln>
      </c:spPr>
      <c:txPr>
        <a:bodyPr/>
        <a:lstStyle/>
        <a:p>
          <a:pPr>
            <a:defRPr sz="16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tx1"/>
      </a:solidFill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171449</xdr:colOff>
      <xdr:row>103</xdr:row>
      <xdr:rowOff>16451</xdr:rowOff>
    </xdr:from>
    <xdr:to>
      <xdr:col>35</xdr:col>
      <xdr:colOff>233794</xdr:colOff>
      <xdr:row>128</xdr:row>
      <xdr:rowOff>47624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10971067" y="20666651"/>
          <a:ext cx="11035145" cy="5219700"/>
          <a:chOff x="10848108" y="21733451"/>
          <a:chExt cx="10972800" cy="5486400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aphicFramePr>
            <a:graphicFrameLocks/>
          </xdr:cNvGraphicFramePr>
        </xdr:nvGraphicFramePr>
        <xdr:xfrm>
          <a:off x="10848108" y="21733451"/>
          <a:ext cx="10972800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15707591" y="26600727"/>
            <a:ext cx="1219200" cy="2000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latin typeface="Arial" pitchFamily="34" charset="0"/>
                <a:cs typeface="Arial" pitchFamily="34" charset="0"/>
              </a:rPr>
              <a:t>Time</a:t>
            </a:r>
          </a:p>
        </xdr:txBody>
      </xdr:sp>
    </xdr:grpSp>
    <xdr:clientData/>
  </xdr:twoCellAnchor>
  <xdr:twoCellAnchor>
    <xdr:from>
      <xdr:col>36</xdr:col>
      <xdr:colOff>0</xdr:colOff>
      <xdr:row>110</xdr:row>
      <xdr:rowOff>0</xdr:rowOff>
    </xdr:from>
    <xdr:to>
      <xdr:col>36</xdr:col>
      <xdr:colOff>424295</xdr:colOff>
      <xdr:row>131</xdr:row>
      <xdr:rowOff>164523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2193250" y="23622000"/>
          <a:ext cx="424295" cy="4286250"/>
        </a:xfrm>
        <a:prstGeom prst="rect">
          <a:avLst/>
        </a:prstGeom>
      </xdr:spPr>
      <xdr:txBody>
        <a:bodyPr vert="vert270" wrap="square" rtlCol="0" anchor="ctr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200" b="1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0.00805</cdr:x>
      <cdr:y>0.05224</cdr:y>
    </cdr:from>
    <cdr:to>
      <cdr:x>0.04672</cdr:x>
      <cdr:y>0.83349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88323" y="286618"/>
          <a:ext cx="424295" cy="428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200" b="1">
              <a:latin typeface="Arial" pitchFamily="34" charset="0"/>
              <a:cs typeface="Arial" pitchFamily="34" charset="0"/>
            </a:rPr>
            <a:t>Temperature</a:t>
          </a:r>
          <a:r>
            <a:rPr lang="en-US" sz="1200" b="1" baseline="0">
              <a:latin typeface="Arial" pitchFamily="34" charset="0"/>
              <a:cs typeface="Arial" pitchFamily="34" charset="0"/>
            </a:rPr>
            <a:t> (°C)</a:t>
          </a:r>
          <a:endParaRPr lang="en-US" sz="1200" b="1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48</xdr:row>
      <xdr:rowOff>137578</xdr:rowOff>
    </xdr:from>
    <xdr:to>
      <xdr:col>24</xdr:col>
      <xdr:colOff>257176</xdr:colOff>
      <xdr:row>87</xdr:row>
      <xdr:rowOff>23278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729740" y="10150258"/>
          <a:ext cx="11359516" cy="7018020"/>
          <a:chOff x="10848107" y="21733450"/>
          <a:chExt cx="9962619" cy="5568576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>
            <a:graphicFrameLocks/>
          </xdr:cNvGraphicFramePr>
        </xdr:nvGraphicFramePr>
        <xdr:xfrm>
          <a:off x="10848107" y="21733450"/>
          <a:ext cx="9962619" cy="55685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15170804" y="26695795"/>
            <a:ext cx="1219200" cy="2000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latin typeface="Arial" pitchFamily="34" charset="0"/>
                <a:cs typeface="Arial" pitchFamily="34" charset="0"/>
              </a:rPr>
              <a:t>Time</a:t>
            </a:r>
          </a:p>
        </xdr:txBody>
      </xdr:sp>
    </xdr:grpSp>
    <xdr:clientData/>
  </xdr:twoCellAnchor>
  <xdr:twoCellAnchor>
    <xdr:from>
      <xdr:col>2</xdr:col>
      <xdr:colOff>428625</xdr:colOff>
      <xdr:row>19</xdr:row>
      <xdr:rowOff>161925</xdr:rowOff>
    </xdr:from>
    <xdr:to>
      <xdr:col>20</xdr:col>
      <xdr:colOff>381000</xdr:colOff>
      <xdr:row>48</xdr:row>
      <xdr:rowOff>123825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853565" y="4871085"/>
          <a:ext cx="9469755" cy="5265420"/>
          <a:chOff x="10874048" y="21733451"/>
          <a:chExt cx="8300936" cy="5486400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GraphicFramePr>
            <a:graphicFrameLocks/>
          </xdr:cNvGraphicFramePr>
        </xdr:nvGraphicFramePr>
        <xdr:xfrm>
          <a:off x="10874048" y="21733451"/>
          <a:ext cx="8300936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4427864" y="26600727"/>
            <a:ext cx="1219200" cy="2000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latin typeface="Arial" pitchFamily="34" charset="0"/>
                <a:cs typeface="Arial" pitchFamily="34" charset="0"/>
              </a:rPr>
              <a:t>Time</a:t>
            </a:r>
          </a:p>
        </xdr:txBody>
      </xdr:sp>
    </xdr:grpSp>
    <xdr:clientData/>
  </xdr:twoCellAnchor>
  <xdr:twoCellAnchor>
    <xdr:from>
      <xdr:col>27</xdr:col>
      <xdr:colOff>390525</xdr:colOff>
      <xdr:row>19</xdr:row>
      <xdr:rowOff>180975</xdr:rowOff>
    </xdr:from>
    <xdr:to>
      <xdr:col>42</xdr:col>
      <xdr:colOff>361950</xdr:colOff>
      <xdr:row>48</xdr:row>
      <xdr:rowOff>142875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14746605" y="4890135"/>
          <a:ext cx="9176385" cy="5265420"/>
          <a:chOff x="10848108" y="21733451"/>
          <a:chExt cx="10158041" cy="548640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GraphicFramePr>
            <a:graphicFrameLocks/>
          </xdr:cNvGraphicFramePr>
        </xdr:nvGraphicFramePr>
        <xdr:xfrm>
          <a:off x="10848108" y="21733451"/>
          <a:ext cx="10158041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15707591" y="26600727"/>
            <a:ext cx="1219200" cy="2000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latin typeface="Arial" pitchFamily="34" charset="0"/>
                <a:cs typeface="Arial" pitchFamily="34" charset="0"/>
              </a:rPr>
              <a:t>Time</a:t>
            </a:r>
          </a:p>
        </xdr:txBody>
      </xdr:sp>
    </xdr:grpSp>
    <xdr:clientData/>
  </xdr:twoCellAnchor>
  <xdr:twoCellAnchor>
    <xdr:from>
      <xdr:col>43</xdr:col>
      <xdr:colOff>552450</xdr:colOff>
      <xdr:row>19</xdr:row>
      <xdr:rowOff>171450</xdr:rowOff>
    </xdr:from>
    <xdr:to>
      <xdr:col>58</xdr:col>
      <xdr:colOff>552450</xdr:colOff>
      <xdr:row>48</xdr:row>
      <xdr:rowOff>133350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24723090" y="4880610"/>
          <a:ext cx="9144000" cy="5265420"/>
          <a:chOff x="10848108" y="21733451"/>
          <a:chExt cx="9144000" cy="5486400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GraphicFramePr>
            <a:graphicFrameLocks/>
          </xdr:cNvGraphicFramePr>
        </xdr:nvGraphicFramePr>
        <xdr:xfrm>
          <a:off x="10848108" y="21733451"/>
          <a:ext cx="9144000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5707591" y="26600727"/>
            <a:ext cx="1219200" cy="2000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latin typeface="Arial" pitchFamily="34" charset="0"/>
                <a:cs typeface="Arial" pitchFamily="34" charset="0"/>
              </a:rPr>
              <a:t>Time</a:t>
            </a:r>
          </a:p>
        </xdr:txBody>
      </xdr:sp>
    </xdr:grpSp>
    <xdr:clientData/>
  </xdr:twoCellAnchor>
  <xdr:twoCellAnchor>
    <xdr:from>
      <xdr:col>60</xdr:col>
      <xdr:colOff>326573</xdr:colOff>
      <xdr:row>2</xdr:row>
      <xdr:rowOff>27213</xdr:rowOff>
    </xdr:from>
    <xdr:to>
      <xdr:col>78</xdr:col>
      <xdr:colOff>277587</xdr:colOff>
      <xdr:row>34</xdr:row>
      <xdr:rowOff>185056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34860413" y="392973"/>
          <a:ext cx="10923814" cy="7244443"/>
          <a:chOff x="10848108" y="21733450"/>
          <a:chExt cx="9918693" cy="9171296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GraphicFramePr>
            <a:graphicFrameLocks/>
          </xdr:cNvGraphicFramePr>
        </xdr:nvGraphicFramePr>
        <xdr:xfrm>
          <a:off x="10848108" y="21733450"/>
          <a:ext cx="9918693" cy="91712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5744492" y="29859130"/>
            <a:ext cx="1219200" cy="3442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latin typeface="Arial" pitchFamily="34" charset="0"/>
                <a:cs typeface="Arial" pitchFamily="34" charset="0"/>
              </a:rPr>
              <a:t>Time</a:t>
            </a: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0.00805</cdr:x>
      <cdr:y>0.05224</cdr:y>
    </cdr:from>
    <cdr:to>
      <cdr:x>0.04672</cdr:x>
      <cdr:y>0.83349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88323" y="286618"/>
          <a:ext cx="424295" cy="428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200" b="1">
              <a:latin typeface="Arial" pitchFamily="34" charset="0"/>
              <a:cs typeface="Arial" pitchFamily="34" charset="0"/>
            </a:rPr>
            <a:t>Temperature</a:t>
          </a:r>
          <a:r>
            <a:rPr lang="en-US" sz="1200" b="1" baseline="0">
              <a:latin typeface="Arial" pitchFamily="34" charset="0"/>
              <a:cs typeface="Arial" pitchFamily="34" charset="0"/>
            </a:rPr>
            <a:t> (°C)</a:t>
          </a:r>
          <a:endParaRPr lang="en-US" sz="1200" b="1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0.00805</cdr:x>
      <cdr:y>0.05224</cdr:y>
    </cdr:from>
    <cdr:to>
      <cdr:x>0.04672</cdr:x>
      <cdr:y>0.83349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88323" y="286618"/>
          <a:ext cx="424295" cy="428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200" b="1">
              <a:latin typeface="Arial" pitchFamily="34" charset="0"/>
              <a:cs typeface="Arial" pitchFamily="34" charset="0"/>
            </a:rPr>
            <a:t>Temperature</a:t>
          </a:r>
          <a:r>
            <a:rPr lang="en-US" sz="1200" b="1" baseline="0">
              <a:latin typeface="Arial" pitchFamily="34" charset="0"/>
              <a:cs typeface="Arial" pitchFamily="34" charset="0"/>
            </a:rPr>
            <a:t> (°C)</a:t>
          </a:r>
          <a:endParaRPr lang="en-US" sz="1200" b="1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2</xdr:row>
      <xdr:rowOff>47625</xdr:rowOff>
    </xdr:from>
    <xdr:to>
      <xdr:col>17</xdr:col>
      <xdr:colOff>57150</xdr:colOff>
      <xdr:row>63</xdr:row>
      <xdr:rowOff>161925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/>
      </xdr:nvGrpSpPr>
      <xdr:grpSpPr>
        <a:xfrm>
          <a:off x="1190625" y="409575"/>
          <a:ext cx="9258300" cy="11153775"/>
          <a:chOff x="0" y="0"/>
          <a:chExt cx="9203083" cy="13359692"/>
        </a:xfrm>
      </xdr:grpSpPr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GrpSpPr/>
        </xdr:nvGrpSpPr>
        <xdr:grpSpPr>
          <a:xfrm>
            <a:off x="0" y="0"/>
            <a:ext cx="9203083" cy="9710641"/>
            <a:chOff x="0" y="0"/>
            <a:chExt cx="9203083" cy="9710641"/>
          </a:xfrm>
        </xdr:grpSpPr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GrpSpPr/>
          </xdr:nvGrpSpPr>
          <xdr:grpSpPr>
            <a:xfrm>
              <a:off x="0" y="0"/>
              <a:ext cx="9174443" cy="4650085"/>
              <a:chOff x="0" y="0"/>
              <a:chExt cx="9144000" cy="4694233"/>
            </a:xfrm>
          </xdr:grpSpPr>
          <xdr:graphicFrame macro="">
            <xdr:nvGraphicFramePr>
              <xdr:cNvPr id="3" name="Chart 2">
                <a:extLst>
                  <a:ext uri="{FF2B5EF4-FFF2-40B4-BE49-F238E27FC236}">
                    <a16:creationId xmlns:a16="http://schemas.microsoft.com/office/drawing/2014/main" id="{00000000-0008-0000-0200-000003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0" y="0"/>
              <a:ext cx="9144000" cy="469423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00000000-0008-0000-0200-000005000000}"/>
                  </a:ext>
                </a:extLst>
              </xdr:cNvPr>
              <xdr:cNvSpPr txBox="1"/>
            </xdr:nvSpPr>
            <xdr:spPr>
              <a:xfrm>
                <a:off x="7810500" y="323851"/>
                <a:ext cx="476249" cy="323849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200" b="1">
                    <a:latin typeface="Arial" pitchFamily="34" charset="0"/>
                    <a:cs typeface="Arial" pitchFamily="34" charset="0"/>
                  </a:rPr>
                  <a:t>(A)</a:t>
                </a:r>
              </a:p>
            </xdr:txBody>
          </xdr:sp>
        </xdr:grpSp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GrpSpPr/>
          </xdr:nvGrpSpPr>
          <xdr:grpSpPr>
            <a:xfrm>
              <a:off x="28641" y="4169212"/>
              <a:ext cx="9174442" cy="5541429"/>
              <a:chOff x="28641" y="4169212"/>
              <a:chExt cx="9174442" cy="5541429"/>
            </a:xfrm>
          </xdr:grpSpPr>
          <xdr:graphicFrame macro="">
            <xdr:nvGraphicFramePr>
              <xdr:cNvPr id="11" name="Chart 10">
                <a:extLst>
                  <a:ext uri="{FF2B5EF4-FFF2-40B4-BE49-F238E27FC236}">
                    <a16:creationId xmlns:a16="http://schemas.microsoft.com/office/drawing/2014/main" id="{00000000-0008-0000-0200-00000B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8641" y="4169212"/>
              <a:ext cx="9174442" cy="554142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00000000-0008-0000-0200-00000D000000}"/>
                  </a:ext>
                </a:extLst>
              </xdr:cNvPr>
              <xdr:cNvSpPr txBox="1"/>
            </xdr:nvSpPr>
            <xdr:spPr>
              <a:xfrm>
                <a:off x="7845353" y="4362836"/>
                <a:ext cx="477835" cy="32080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200" b="1">
                    <a:latin typeface="Arial" pitchFamily="34" charset="0"/>
                    <a:cs typeface="Arial" pitchFamily="34" charset="0"/>
                  </a:rPr>
                  <a:t>(B)</a:t>
                </a:r>
              </a:p>
            </xdr:txBody>
          </xdr:sp>
        </xdr:grp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pSpPr/>
        </xdr:nvGrpSpPr>
        <xdr:grpSpPr>
          <a:xfrm>
            <a:off x="1" y="8709606"/>
            <a:ext cx="9174443" cy="4650086"/>
            <a:chOff x="-47575" y="11262436"/>
            <a:chExt cx="9144000" cy="4636872"/>
          </a:xfrm>
        </xdr:grpSpPr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pSpPr/>
          </xdr:nvGrpSpPr>
          <xdr:grpSpPr>
            <a:xfrm>
              <a:off x="-47575" y="11262436"/>
              <a:ext cx="9144000" cy="4636872"/>
              <a:chOff x="10800533" y="20803887"/>
              <a:chExt cx="9144000" cy="4636872"/>
            </a:xfrm>
          </xdr:grpSpPr>
          <xdr:graphicFrame macro="">
            <xdr:nvGraphicFramePr>
              <xdr:cNvPr id="16" name="Chart 15">
                <a:extLst>
                  <a:ext uri="{FF2B5EF4-FFF2-40B4-BE49-F238E27FC236}">
                    <a16:creationId xmlns:a16="http://schemas.microsoft.com/office/drawing/2014/main" id="{00000000-0008-0000-0200-000010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0800533" y="20803887"/>
              <a:ext cx="9144000" cy="463687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">
            <xdr:nvSpPr>
              <xdr:cNvPr id="17" name="TextBox 16">
                <a:extLst>
                  <a:ext uri="{FF2B5EF4-FFF2-40B4-BE49-F238E27FC236}">
                    <a16:creationId xmlns:a16="http://schemas.microsoft.com/office/drawing/2014/main" id="{00000000-0008-0000-0200-000011000000}"/>
                  </a:ext>
                </a:extLst>
              </xdr:cNvPr>
              <xdr:cNvSpPr txBox="1"/>
            </xdr:nvSpPr>
            <xdr:spPr>
              <a:xfrm>
                <a:off x="14756180" y="25014789"/>
                <a:ext cx="1219200" cy="25003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200" b="1">
                    <a:latin typeface="Arial" pitchFamily="34" charset="0"/>
                    <a:cs typeface="Arial" pitchFamily="34" charset="0"/>
                  </a:rPr>
                  <a:t>Time</a:t>
                </a:r>
              </a:p>
            </xdr:txBody>
          </xdr:sp>
        </xdr:grp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SpPr txBox="1"/>
          </xdr:nvSpPr>
          <xdr:spPr>
            <a:xfrm>
              <a:off x="7684814" y="11443356"/>
              <a:ext cx="476249" cy="32384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200" b="1">
                  <a:latin typeface="Arial" pitchFamily="34" charset="0"/>
                  <a:cs typeface="Arial" pitchFamily="34" charset="0"/>
                </a:rPr>
                <a:t>(C)</a:t>
              </a:r>
            </a:p>
          </xdr:txBody>
        </xdr:sp>
      </xdr:grpSp>
    </xdr:grpSp>
    <xdr:clientData/>
  </xdr:twoCellAnchor>
  <xdr:twoCellAnchor>
    <xdr:from>
      <xdr:col>0</xdr:col>
      <xdr:colOff>0</xdr:colOff>
      <xdr:row>84</xdr:row>
      <xdr:rowOff>0</xdr:rowOff>
    </xdr:from>
    <xdr:to>
      <xdr:col>17</xdr:col>
      <xdr:colOff>603585</xdr:colOff>
      <xdr:row>122</xdr:row>
      <xdr:rowOff>76200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pSpPr/>
      </xdr:nvGrpSpPr>
      <xdr:grpSpPr>
        <a:xfrm>
          <a:off x="0" y="15201900"/>
          <a:ext cx="10995360" cy="6953250"/>
          <a:chOff x="10848107" y="21733450"/>
          <a:chExt cx="9962619" cy="5568576"/>
        </a:xfrm>
      </xdr:grpSpPr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GraphicFramePr>
            <a:graphicFrameLocks/>
          </xdr:cNvGraphicFramePr>
        </xdr:nvGraphicFramePr>
        <xdr:xfrm>
          <a:off x="10848107" y="21733450"/>
          <a:ext cx="9962619" cy="55685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15170804" y="26695795"/>
            <a:ext cx="1219200" cy="2000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latin typeface="Arial" pitchFamily="34" charset="0"/>
                <a:cs typeface="Arial" pitchFamily="34" charset="0"/>
              </a:rPr>
              <a:t>Time</a:t>
            </a:r>
          </a:p>
        </xdr:txBody>
      </xdr:sp>
    </xdr:grpSp>
    <xdr:clientData/>
  </xdr:twoCellAnchor>
  <xdr:twoCellAnchor>
    <xdr:from>
      <xdr:col>0</xdr:col>
      <xdr:colOff>0</xdr:colOff>
      <xdr:row>126</xdr:row>
      <xdr:rowOff>154781</xdr:rowOff>
    </xdr:from>
    <xdr:to>
      <xdr:col>18</xdr:col>
      <xdr:colOff>250031</xdr:colOff>
      <xdr:row>162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pSpPr/>
      </xdr:nvGrpSpPr>
      <xdr:grpSpPr>
        <a:xfrm>
          <a:off x="0" y="22957631"/>
          <a:ext cx="11251406" cy="6360319"/>
          <a:chOff x="10848108" y="21733450"/>
          <a:chExt cx="9918693" cy="9171296"/>
        </a:xfrm>
      </xdr:grpSpPr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GraphicFramePr>
            <a:graphicFrameLocks/>
          </xdr:cNvGraphicFramePr>
        </xdr:nvGraphicFramePr>
        <xdr:xfrm>
          <a:off x="10848108" y="21733450"/>
          <a:ext cx="9918693" cy="91712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5156388" y="29787532"/>
            <a:ext cx="1219200" cy="344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latin typeface="Arial" pitchFamily="34" charset="0"/>
                <a:cs typeface="Arial" pitchFamily="34" charset="0"/>
              </a:rPr>
              <a:t>Time</a:t>
            </a:r>
          </a:p>
        </xdr:txBody>
      </xdr:sp>
    </xdr:grp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0.00805</cdr:x>
      <cdr:y>0.05224</cdr:y>
    </cdr:from>
    <cdr:to>
      <cdr:x>0.04672</cdr:x>
      <cdr:y>0.83349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88323" y="286618"/>
          <a:ext cx="424295" cy="428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200" b="1">
              <a:latin typeface="Arial" pitchFamily="34" charset="0"/>
              <a:cs typeface="Arial" pitchFamily="34" charset="0"/>
            </a:rPr>
            <a:t>Temperature</a:t>
          </a:r>
          <a:r>
            <a:rPr lang="en-US" sz="1200" b="1" baseline="0">
              <a:latin typeface="Arial" pitchFamily="34" charset="0"/>
              <a:cs typeface="Arial" pitchFamily="34" charset="0"/>
            </a:rPr>
            <a:t> (°C)</a:t>
          </a:r>
          <a:endParaRPr lang="en-US" sz="1200" b="1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0.00805</cdr:x>
      <cdr:y>0.05224</cdr:y>
    </cdr:from>
    <cdr:to>
      <cdr:x>0.04672</cdr:x>
      <cdr:y>0.83349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88323" y="286618"/>
          <a:ext cx="424295" cy="428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200" b="1">
              <a:latin typeface="Arial" pitchFamily="34" charset="0"/>
              <a:cs typeface="Arial" pitchFamily="34" charset="0"/>
            </a:rPr>
            <a:t>Temperature</a:t>
          </a:r>
          <a:r>
            <a:rPr lang="en-US" sz="1200" b="1" baseline="0">
              <a:latin typeface="Arial" pitchFamily="34" charset="0"/>
              <a:cs typeface="Arial" pitchFamily="34" charset="0"/>
            </a:rPr>
            <a:t> (°C)</a:t>
          </a:r>
          <a:endParaRPr lang="en-US" sz="1200" b="1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491647</xdr:colOff>
      <xdr:row>31</xdr:row>
      <xdr:rowOff>138572</xdr:rowOff>
    </xdr:from>
    <xdr:to>
      <xdr:col>25</xdr:col>
      <xdr:colOff>10116</xdr:colOff>
      <xdr:row>33</xdr:row>
      <xdr:rowOff>3551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13896342" y="6422749"/>
          <a:ext cx="1330542" cy="2366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atin typeface="Arial" pitchFamily="34" charset="0"/>
              <a:cs typeface="Arial" pitchFamily="34" charset="0"/>
            </a:rPr>
            <a:t>Time</a:t>
          </a:r>
        </a:p>
      </xdr:txBody>
    </xdr:sp>
    <xdr:clientData/>
  </xdr:twoCellAnchor>
  <xdr:twoCellAnchor>
    <xdr:from>
      <xdr:col>15</xdr:col>
      <xdr:colOff>0</xdr:colOff>
      <xdr:row>3</xdr:row>
      <xdr:rowOff>148166</xdr:rowOff>
    </xdr:from>
    <xdr:to>
      <xdr:col>32</xdr:col>
      <xdr:colOff>537633</xdr:colOff>
      <xdr:row>39</xdr:row>
      <xdr:rowOff>97366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9183688" y="695854"/>
          <a:ext cx="10927820" cy="7251700"/>
          <a:chOff x="10874048" y="21733451"/>
          <a:chExt cx="9803379" cy="7310815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GraphicFramePr>
            <a:graphicFrameLocks/>
          </xdr:cNvGraphicFramePr>
        </xdr:nvGraphicFramePr>
        <xdr:xfrm>
          <a:off x="10874048" y="21733451"/>
          <a:ext cx="9803379" cy="73108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 txBox="1"/>
        </xdr:nvSpPr>
        <xdr:spPr>
          <a:xfrm>
            <a:off x="15292545" y="28180483"/>
            <a:ext cx="1219200" cy="29051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latin typeface="Arial" pitchFamily="34" charset="0"/>
                <a:cs typeface="Arial" pitchFamily="34" charset="0"/>
              </a:rPr>
              <a:t>Time</a:t>
            </a:r>
            <a:endParaRPr lang="en-US" sz="12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12</xdr:col>
      <xdr:colOff>0</xdr:colOff>
      <xdr:row>116</xdr:row>
      <xdr:rowOff>0</xdr:rowOff>
    </xdr:from>
    <xdr:to>
      <xdr:col>29</xdr:col>
      <xdr:colOff>537633</xdr:colOff>
      <xdr:row>151</xdr:row>
      <xdr:rowOff>86783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455084</xdr:colOff>
      <xdr:row>147</xdr:row>
      <xdr:rowOff>0</xdr:rowOff>
    </xdr:from>
    <xdr:to>
      <xdr:col>21</xdr:col>
      <xdr:colOff>570167</xdr:colOff>
      <xdr:row>148</xdr:row>
      <xdr:rowOff>84265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11969751" y="32713083"/>
          <a:ext cx="1342749" cy="2747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rial" pitchFamily="34" charset="0"/>
              <a:cs typeface="Arial" pitchFamily="34" charset="0"/>
            </a:rPr>
            <a:t>Time</a:t>
          </a:r>
          <a:endParaRPr lang="en-US" sz="12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14</xdr:col>
      <xdr:colOff>603816</xdr:colOff>
      <xdr:row>41</xdr:row>
      <xdr:rowOff>102053</xdr:rowOff>
    </xdr:from>
    <xdr:to>
      <xdr:col>32</xdr:col>
      <xdr:colOff>529128</xdr:colOff>
      <xdr:row>77</xdr:row>
      <xdr:rowOff>120526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9176316" y="8317366"/>
          <a:ext cx="10926687" cy="7432098"/>
          <a:chOff x="10874048" y="21733451"/>
          <a:chExt cx="9803379" cy="7310815"/>
        </a:xfrm>
      </xdr:grpSpPr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>
            <a:graphicFrameLocks/>
          </xdr:cNvGraphicFramePr>
        </xdr:nvGraphicFramePr>
        <xdr:xfrm>
          <a:off x="10874048" y="21733451"/>
          <a:ext cx="9803379" cy="73108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 txBox="1"/>
        </xdr:nvSpPr>
        <xdr:spPr>
          <a:xfrm>
            <a:off x="15292545" y="28180483"/>
            <a:ext cx="1219200" cy="29051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latin typeface="Arial" pitchFamily="34" charset="0"/>
                <a:cs typeface="Arial" pitchFamily="34" charset="0"/>
              </a:rPr>
              <a:t>Time</a:t>
            </a:r>
            <a:endParaRPr lang="en-US" sz="12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22</xdr:col>
      <xdr:colOff>612039</xdr:colOff>
      <xdr:row>106</xdr:row>
      <xdr:rowOff>99023</xdr:rowOff>
    </xdr:from>
    <xdr:to>
      <xdr:col>25</xdr:col>
      <xdr:colOff>4010</xdr:colOff>
      <xdr:row>107</xdr:row>
      <xdr:rowOff>108919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13955543" y="22168108"/>
          <a:ext cx="1228936" cy="1969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atin typeface="Arial" pitchFamily="34" charset="0"/>
              <a:cs typeface="Arial" pitchFamily="34" charset="0"/>
            </a:rPr>
            <a:t>Time</a:t>
          </a:r>
        </a:p>
      </xdr:txBody>
    </xdr:sp>
    <xdr:clientData/>
  </xdr:twoCellAnchor>
  <xdr:twoCellAnchor>
    <xdr:from>
      <xdr:col>15</xdr:col>
      <xdr:colOff>7086</xdr:colOff>
      <xdr:row>83</xdr:row>
      <xdr:rowOff>0</xdr:rowOff>
    </xdr:from>
    <xdr:to>
      <xdr:col>32</xdr:col>
      <xdr:colOff>537633</xdr:colOff>
      <xdr:row>114</xdr:row>
      <xdr:rowOff>148829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pSpPr/>
      </xdr:nvGrpSpPr>
      <xdr:grpSpPr>
        <a:xfrm>
          <a:off x="9190774" y="16724313"/>
          <a:ext cx="10920734" cy="6173391"/>
          <a:chOff x="10874048" y="21733451"/>
          <a:chExt cx="9803379" cy="7310815"/>
        </a:xfrm>
      </xdr:grpSpPr>
      <xdr:graphicFrame macro="">
        <xdr:nvGraphicFramePr>
          <xdr:cNvPr id="41" name="Chart 40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GraphicFramePr>
            <a:graphicFrameLocks/>
          </xdr:cNvGraphicFramePr>
        </xdr:nvGraphicFramePr>
        <xdr:xfrm>
          <a:off x="10874048" y="21733451"/>
          <a:ext cx="9803379" cy="73108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SpPr txBox="1"/>
        </xdr:nvSpPr>
        <xdr:spPr>
          <a:xfrm>
            <a:off x="15166685" y="28379265"/>
            <a:ext cx="1219200" cy="29051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latin typeface="Arial" pitchFamily="34" charset="0"/>
                <a:cs typeface="Arial" pitchFamily="34" charset="0"/>
              </a:rPr>
              <a:t>Time</a:t>
            </a:r>
            <a:endParaRPr lang="en-US" sz="12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5980</xdr:colOff>
      <xdr:row>1</xdr:row>
      <xdr:rowOff>164523</xdr:rowOff>
    </xdr:from>
    <xdr:to>
      <xdr:col>17</xdr:col>
      <xdr:colOff>8678</xdr:colOff>
      <xdr:row>73</xdr:row>
      <xdr:rowOff>145194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pSpPr/>
      </xdr:nvGrpSpPr>
      <xdr:grpSpPr>
        <a:xfrm>
          <a:off x="1228355" y="347086"/>
          <a:ext cx="9170511" cy="13125171"/>
          <a:chOff x="1218207" y="353955"/>
          <a:chExt cx="9097034" cy="14901605"/>
        </a:xfrm>
      </xdr:grpSpPr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GrpSpPr/>
        </xdr:nvGrpSpPr>
        <xdr:grpSpPr>
          <a:xfrm>
            <a:off x="1218207" y="353955"/>
            <a:ext cx="9097034" cy="9939834"/>
            <a:chOff x="1218207" y="353955"/>
            <a:chExt cx="9097034" cy="9939834"/>
          </a:xfrm>
        </xdr:grpSpPr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00000000-0008-0000-0400-000017000000}"/>
                </a:ext>
              </a:extLst>
            </xdr:cNvPr>
            <xdr:cNvGrpSpPr/>
          </xdr:nvGrpSpPr>
          <xdr:grpSpPr>
            <a:xfrm>
              <a:off x="1220932" y="353955"/>
              <a:ext cx="9094309" cy="4973837"/>
              <a:chOff x="1220932" y="353955"/>
              <a:chExt cx="9094309" cy="4973837"/>
            </a:xfrm>
          </xdr:grpSpPr>
          <xdr:graphicFrame macro="">
            <xdr:nvGraphicFramePr>
              <xdr:cNvPr id="11" name="Chart 10">
                <a:extLst>
                  <a:ext uri="{FF2B5EF4-FFF2-40B4-BE49-F238E27FC236}">
                    <a16:creationId xmlns:a16="http://schemas.microsoft.com/office/drawing/2014/main" id="{00000000-0008-0000-0400-00000B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220932" y="353955"/>
              <a:ext cx="9094309" cy="49738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22" name="TextBox 21">
                <a:extLst>
                  <a:ext uri="{FF2B5EF4-FFF2-40B4-BE49-F238E27FC236}">
                    <a16:creationId xmlns:a16="http://schemas.microsoft.com/office/drawing/2014/main" id="{00000000-0008-0000-0400-000016000000}"/>
                  </a:ext>
                </a:extLst>
              </xdr:cNvPr>
              <xdr:cNvSpPr txBox="1"/>
            </xdr:nvSpPr>
            <xdr:spPr>
              <a:xfrm>
                <a:off x="9692026" y="491707"/>
                <a:ext cx="458932" cy="294469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200" b="1">
                    <a:latin typeface="Arial" pitchFamily="34" charset="0"/>
                    <a:cs typeface="Arial" pitchFamily="34" charset="0"/>
                  </a:rPr>
                  <a:t>(A)</a:t>
                </a:r>
                <a:endParaRPr lang="en-US" sz="1100" b="1">
                  <a:latin typeface="Arial" pitchFamily="34" charset="0"/>
                  <a:cs typeface="Arial" pitchFamily="34" charset="0"/>
                </a:endParaRPr>
              </a:p>
            </xdr:txBody>
          </xdr:sp>
        </xdr:grpSp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00000000-0008-0000-0400-000019000000}"/>
                </a:ext>
              </a:extLst>
            </xdr:cNvPr>
            <xdr:cNvGrpSpPr/>
          </xdr:nvGrpSpPr>
          <xdr:grpSpPr>
            <a:xfrm>
              <a:off x="1218207" y="5319953"/>
              <a:ext cx="9094308" cy="4973836"/>
              <a:chOff x="1218207" y="5319953"/>
              <a:chExt cx="9094308" cy="4973836"/>
            </a:xfrm>
          </xdr:grpSpPr>
          <xdr:graphicFrame macro="">
            <xdr:nvGraphicFramePr>
              <xdr:cNvPr id="20" name="Chart 19">
                <a:extLst>
                  <a:ext uri="{FF2B5EF4-FFF2-40B4-BE49-F238E27FC236}">
                    <a16:creationId xmlns:a16="http://schemas.microsoft.com/office/drawing/2014/main" id="{00000000-0008-0000-0400-000014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218207" y="5319953"/>
              <a:ext cx="9094308" cy="497383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">
            <xdr:nvSpPr>
              <xdr:cNvPr id="24" name="TextBox 23">
                <a:extLst>
                  <a:ext uri="{FF2B5EF4-FFF2-40B4-BE49-F238E27FC236}">
                    <a16:creationId xmlns:a16="http://schemas.microsoft.com/office/drawing/2014/main" id="{00000000-0008-0000-0400-000018000000}"/>
                  </a:ext>
                </a:extLst>
              </xdr:cNvPr>
              <xdr:cNvSpPr txBox="1"/>
            </xdr:nvSpPr>
            <xdr:spPr>
              <a:xfrm>
                <a:off x="9807569" y="5404550"/>
                <a:ext cx="458932" cy="294469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200" b="1">
                    <a:latin typeface="Arial" pitchFamily="34" charset="0"/>
                    <a:cs typeface="Arial" pitchFamily="34" charset="0"/>
                  </a:rPr>
                  <a:t>(B)</a:t>
                </a:r>
                <a:endParaRPr lang="en-US" sz="1100" b="1">
                  <a:latin typeface="Arial" pitchFamily="34" charset="0"/>
                  <a:cs typeface="Arial" pitchFamily="34" charset="0"/>
                </a:endParaRPr>
              </a:p>
            </xdr:txBody>
          </xdr:sp>
        </xdr:grpSp>
      </xdr:grp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GrpSpPr/>
        </xdr:nvGrpSpPr>
        <xdr:grpSpPr>
          <a:xfrm>
            <a:off x="1219289" y="10281723"/>
            <a:ext cx="9094309" cy="4973837"/>
            <a:chOff x="1219289" y="10281723"/>
            <a:chExt cx="9094309" cy="4973837"/>
          </a:xfrm>
        </xdr:grpSpPr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GrpSpPr/>
          </xdr:nvGrpSpPr>
          <xdr:grpSpPr>
            <a:xfrm>
              <a:off x="1219289" y="10281723"/>
              <a:ext cx="9094309" cy="4973837"/>
              <a:chOff x="10880432" y="16480184"/>
              <a:chExt cx="8276616" cy="6425571"/>
            </a:xfrm>
          </xdr:grpSpPr>
          <xdr:graphicFrame macro="">
            <xdr:nvGraphicFramePr>
              <xdr:cNvPr id="17" name="Chart 16">
                <a:extLst>
                  <a:ext uri="{FF2B5EF4-FFF2-40B4-BE49-F238E27FC236}">
                    <a16:creationId xmlns:a16="http://schemas.microsoft.com/office/drawing/2014/main" id="{00000000-0008-0000-0400-000011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0880432" y="16480184"/>
              <a:ext cx="8276616" cy="642557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">
            <xdr:nvSpPr>
              <xdr:cNvPr id="18" name="TextBox 17">
                <a:extLst>
                  <a:ext uri="{FF2B5EF4-FFF2-40B4-BE49-F238E27FC236}">
                    <a16:creationId xmlns:a16="http://schemas.microsoft.com/office/drawing/2014/main" id="{00000000-0008-0000-0400-000012000000}"/>
                  </a:ext>
                </a:extLst>
              </xdr:cNvPr>
              <xdr:cNvSpPr txBox="1"/>
            </xdr:nvSpPr>
            <xdr:spPr>
              <a:xfrm>
                <a:off x="14417887" y="22405702"/>
                <a:ext cx="1219200" cy="390788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400" b="1">
                    <a:latin typeface="Arial" pitchFamily="34" charset="0"/>
                    <a:cs typeface="Arial" pitchFamily="34" charset="0"/>
                  </a:rPr>
                  <a:t>Time</a:t>
                </a:r>
                <a:endParaRPr lang="en-US" sz="1200" b="1">
                  <a:latin typeface="Arial" pitchFamily="34" charset="0"/>
                  <a:cs typeface="Arial" pitchFamily="34" charset="0"/>
                </a:endParaRPr>
              </a:p>
            </xdr:txBody>
          </xdr:sp>
        </xdr:grp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0000000-0008-0000-0400-00001B000000}"/>
                </a:ext>
              </a:extLst>
            </xdr:cNvPr>
            <xdr:cNvSpPr txBox="1"/>
          </xdr:nvSpPr>
          <xdr:spPr>
            <a:xfrm>
              <a:off x="9758805" y="10397070"/>
              <a:ext cx="458932" cy="2944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200" b="1">
                  <a:latin typeface="Arial" pitchFamily="34" charset="0"/>
                  <a:cs typeface="Arial" pitchFamily="34" charset="0"/>
                </a:rPr>
                <a:t>(C)</a:t>
              </a:r>
              <a:endParaRPr lang="en-US" sz="1100" b="1">
                <a:latin typeface="Arial" pitchFamily="34" charset="0"/>
                <a:cs typeface="Arial" pitchFamily="34" charset="0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7"/>
  <sheetViews>
    <sheetView topLeftCell="A89" zoomScale="110" zoomScaleNormal="110" workbookViewId="0">
      <selection activeCell="B96" sqref="B96"/>
    </sheetView>
  </sheetViews>
  <sheetFormatPr defaultRowHeight="14.4" x14ac:dyDescent="0.3"/>
  <cols>
    <col min="1" max="1" width="10.88671875" customWidth="1"/>
    <col min="3" max="3" width="9.88671875" customWidth="1"/>
    <col min="8" max="8" width="10.6640625" customWidth="1"/>
    <col min="13" max="13" width="10.44140625" customWidth="1"/>
  </cols>
  <sheetData>
    <row r="1" spans="1:7" ht="28.8" x14ac:dyDescent="0.3">
      <c r="A1" s="5" t="s">
        <v>26</v>
      </c>
      <c r="B1" s="32" t="s">
        <v>23</v>
      </c>
      <c r="C1" s="30"/>
      <c r="D1" s="30"/>
      <c r="E1" s="30"/>
      <c r="F1" s="30"/>
      <c r="G1" s="31"/>
    </row>
    <row r="2" spans="1:7" ht="28.8" x14ac:dyDescent="0.3">
      <c r="B2" s="1"/>
      <c r="C2" s="2" t="s">
        <v>0</v>
      </c>
      <c r="D2" s="2" t="s">
        <v>1</v>
      </c>
      <c r="E2" s="1" t="s">
        <v>2</v>
      </c>
      <c r="F2" s="2" t="s">
        <v>3</v>
      </c>
      <c r="G2" s="2" t="s">
        <v>4</v>
      </c>
    </row>
    <row r="3" spans="1:7" x14ac:dyDescent="0.3">
      <c r="B3" s="1" t="s">
        <v>5</v>
      </c>
      <c r="C3" s="1">
        <v>19.499999999999996</v>
      </c>
      <c r="D3" s="1">
        <v>11.657754573690912</v>
      </c>
      <c r="E3" s="1">
        <v>45.5953398958438</v>
      </c>
      <c r="F3" s="1">
        <v>36.613482425855317</v>
      </c>
      <c r="G3" s="1">
        <v>16.27584582666103</v>
      </c>
    </row>
    <row r="4" spans="1:7" x14ac:dyDescent="0.3">
      <c r="B4" s="1" t="s">
        <v>6</v>
      </c>
      <c r="C4" s="1">
        <v>38.370000000000005</v>
      </c>
      <c r="D4" s="1">
        <v>13.565259428291535</v>
      </c>
      <c r="E4" s="1">
        <v>28.104789669327001</v>
      </c>
      <c r="F4" s="1">
        <v>38.74982489879195</v>
      </c>
      <c r="G4" s="1">
        <v>29.959549879426223</v>
      </c>
    </row>
    <row r="5" spans="1:7" x14ac:dyDescent="0.3">
      <c r="B5" s="1" t="s">
        <v>7</v>
      </c>
      <c r="C5" s="1">
        <v>33.340000000000018</v>
      </c>
      <c r="D5" s="1">
        <v>5.5481083915339964</v>
      </c>
      <c r="E5" s="1">
        <v>58.775828626310002</v>
      </c>
      <c r="F5" s="1">
        <v>33.234274458607764</v>
      </c>
      <c r="G5" s="1">
        <v>38.582489502912082</v>
      </c>
    </row>
    <row r="6" spans="1:7" x14ac:dyDescent="0.3">
      <c r="B6" s="1" t="s">
        <v>8</v>
      </c>
      <c r="C6" s="1">
        <v>19.165000000000003</v>
      </c>
      <c r="D6" s="1">
        <v>9.4584077660725789</v>
      </c>
      <c r="E6" s="1">
        <v>31.0302718003067</v>
      </c>
      <c r="F6" s="1">
        <v>15.655222620958657</v>
      </c>
      <c r="G6" s="1">
        <v>12.227401126642652</v>
      </c>
    </row>
    <row r="7" spans="1:7" x14ac:dyDescent="0.3">
      <c r="B7" s="1" t="s">
        <v>9</v>
      </c>
      <c r="C7" s="1">
        <v>18.195</v>
      </c>
      <c r="D7" s="1">
        <v>13.544535425883758</v>
      </c>
      <c r="E7" s="1">
        <v>81.573658682363103</v>
      </c>
      <c r="F7" s="1">
        <v>8.5353062256311638</v>
      </c>
      <c r="G7" s="1">
        <v>36.545676466687517</v>
      </c>
    </row>
    <row r="8" spans="1:7" x14ac:dyDescent="0.3">
      <c r="B8" s="1" t="s">
        <v>10</v>
      </c>
      <c r="C8" s="1">
        <v>58.66999999999998</v>
      </c>
      <c r="D8" s="1">
        <v>32.244101727205944</v>
      </c>
      <c r="E8" s="1">
        <v>113.67960618139701</v>
      </c>
      <c r="F8" s="1">
        <v>12.666956425229934</v>
      </c>
      <c r="G8" s="1">
        <v>122.43022092612084</v>
      </c>
    </row>
    <row r="9" spans="1:7" x14ac:dyDescent="0.3">
      <c r="B9" s="1" t="s">
        <v>11</v>
      </c>
      <c r="C9" s="1">
        <v>187.53999999999991</v>
      </c>
      <c r="D9" s="1">
        <v>29.11243995116325</v>
      </c>
      <c r="E9" s="1">
        <v>162.16530548296055</v>
      </c>
      <c r="F9" s="1">
        <v>23.404989353016781</v>
      </c>
      <c r="G9" s="1">
        <v>327.86622048630733</v>
      </c>
    </row>
    <row r="10" spans="1:7" x14ac:dyDescent="0.3">
      <c r="B10" s="1" t="s">
        <v>12</v>
      </c>
      <c r="C10" s="1">
        <v>208.45999999999998</v>
      </c>
      <c r="D10" s="1">
        <v>33.082009373269528</v>
      </c>
      <c r="E10" s="1">
        <v>91.363914917661774</v>
      </c>
      <c r="F10" s="1">
        <v>26.225748864467828</v>
      </c>
      <c r="G10" s="1">
        <v>296.39064412834858</v>
      </c>
    </row>
    <row r="11" spans="1:7" x14ac:dyDescent="0.3">
      <c r="B11" s="1" t="s">
        <v>13</v>
      </c>
      <c r="C11" s="1">
        <v>67.590000000000018</v>
      </c>
      <c r="D11" s="1">
        <v>45.733958144133346</v>
      </c>
      <c r="E11" s="1">
        <v>168.25548085382729</v>
      </c>
      <c r="F11" s="1">
        <v>41.117758062105516</v>
      </c>
      <c r="G11" s="1">
        <v>254.05659587875903</v>
      </c>
    </row>
    <row r="12" spans="1:7" x14ac:dyDescent="0.3">
      <c r="B12" s="1" t="s">
        <v>14</v>
      </c>
      <c r="C12" s="1">
        <v>23.074999999999999</v>
      </c>
      <c r="D12" s="1">
        <v>31.334440678359041</v>
      </c>
      <c r="E12" s="1">
        <v>32.745012518375034</v>
      </c>
      <c r="F12" s="1">
        <v>27.137456031119925</v>
      </c>
      <c r="G12" s="1">
        <v>56.323897545419975</v>
      </c>
    </row>
    <row r="13" spans="1:7" x14ac:dyDescent="0.3">
      <c r="B13" s="1" t="s">
        <v>15</v>
      </c>
      <c r="C13" s="1">
        <v>6.5549999999999979</v>
      </c>
      <c r="D13" s="1">
        <v>16.895028957014581</v>
      </c>
      <c r="E13" s="1">
        <v>35.133557399124498</v>
      </c>
      <c r="F13" s="1">
        <v>77.254557822773393</v>
      </c>
      <c r="G13" s="1">
        <v>54.983285723663698</v>
      </c>
    </row>
    <row r="14" spans="1:7" x14ac:dyDescent="0.3">
      <c r="B14" s="1" t="s">
        <v>16</v>
      </c>
      <c r="C14" s="1">
        <v>9.8849999999999998</v>
      </c>
      <c r="D14" s="1">
        <v>13.451404454208951</v>
      </c>
      <c r="E14" s="1">
        <v>36.509481236498864</v>
      </c>
      <c r="F14" s="1">
        <v>64.474618246060544</v>
      </c>
      <c r="G14" s="1">
        <v>58.824495140817881</v>
      </c>
    </row>
    <row r="20" spans="2:7" ht="22.5" customHeight="1" x14ac:dyDescent="0.3">
      <c r="B20" s="33" t="s">
        <v>24</v>
      </c>
      <c r="C20" s="33"/>
      <c r="D20" s="33"/>
      <c r="E20" s="33"/>
      <c r="F20" s="33"/>
      <c r="G20" s="33"/>
    </row>
    <row r="21" spans="2:7" ht="28.8" x14ac:dyDescent="0.3">
      <c r="B21" s="3"/>
      <c r="C21" s="4" t="s">
        <v>0</v>
      </c>
      <c r="D21" s="4" t="s">
        <v>1</v>
      </c>
      <c r="E21" s="4" t="s">
        <v>2</v>
      </c>
      <c r="F21" s="4" t="s">
        <v>17</v>
      </c>
      <c r="G21" s="3" t="s">
        <v>4</v>
      </c>
    </row>
    <row r="22" spans="2:7" x14ac:dyDescent="0.3">
      <c r="B22" s="3" t="s">
        <v>5</v>
      </c>
      <c r="C22" s="3">
        <v>19.154992319508469</v>
      </c>
      <c r="D22" s="3">
        <v>11.613302611367121</v>
      </c>
      <c r="E22" s="3">
        <v>16.49434715821814</v>
      </c>
      <c r="F22" s="3">
        <v>1.6706129032258061</v>
      </c>
      <c r="G22" s="3">
        <v>20.143306451612919</v>
      </c>
    </row>
    <row r="23" spans="2:7" x14ac:dyDescent="0.3">
      <c r="B23" s="3" t="s">
        <v>6</v>
      </c>
      <c r="C23" s="3">
        <v>22.192857142857171</v>
      </c>
      <c r="D23" s="3">
        <v>13.709645868465442</v>
      </c>
      <c r="E23" s="3">
        <v>19.110590219224289</v>
      </c>
      <c r="F23" s="3">
        <v>5.7652035398230081</v>
      </c>
      <c r="G23" s="3">
        <v>23.359513274336276</v>
      </c>
    </row>
    <row r="24" spans="2:7" x14ac:dyDescent="0.3">
      <c r="B24" s="3" t="s">
        <v>7</v>
      </c>
      <c r="C24" s="3">
        <v>26.868202764976971</v>
      </c>
      <c r="D24" s="3">
        <v>19.018218125960058</v>
      </c>
      <c r="E24" s="3">
        <v>24.427818740399402</v>
      </c>
      <c r="F24" s="3">
        <v>11.637870967741934</v>
      </c>
      <c r="G24" s="3">
        <v>28.702943548387076</v>
      </c>
    </row>
    <row r="25" spans="2:7" x14ac:dyDescent="0.3">
      <c r="B25" s="3" t="s">
        <v>8</v>
      </c>
      <c r="C25" s="3">
        <v>33.61936507936506</v>
      </c>
      <c r="D25" s="3">
        <v>26.427492063492029</v>
      </c>
      <c r="E25" s="3">
        <v>31.43433333333337</v>
      </c>
      <c r="F25" s="3">
        <v>17.287116666666691</v>
      </c>
      <c r="G25" s="3">
        <v>36.121708333333331</v>
      </c>
    </row>
    <row r="26" spans="2:7" x14ac:dyDescent="0.3">
      <c r="B26" s="3" t="s">
        <v>9</v>
      </c>
      <c r="C26" s="3">
        <v>38.708755760368653</v>
      </c>
      <c r="D26" s="3">
        <v>32.854301075268843</v>
      </c>
      <c r="E26" s="3">
        <v>37.692933947772659</v>
      </c>
      <c r="F26" s="3">
        <v>23.51264516129033</v>
      </c>
      <c r="G26" s="3">
        <v>41.975181451612897</v>
      </c>
    </row>
    <row r="27" spans="2:7" x14ac:dyDescent="0.3">
      <c r="B27" s="3" t="s">
        <v>10</v>
      </c>
      <c r="C27" s="3">
        <v>39.665555555555521</v>
      </c>
      <c r="D27" s="3">
        <v>36.114730158730126</v>
      </c>
      <c r="E27" s="3">
        <v>41.443904761904776</v>
      </c>
      <c r="F27" s="3">
        <v>29.509083333333315</v>
      </c>
      <c r="G27" s="3">
        <v>44.036270833333333</v>
      </c>
    </row>
    <row r="28" spans="2:7" x14ac:dyDescent="0.3">
      <c r="B28" s="3" t="s">
        <v>11</v>
      </c>
      <c r="C28" s="3">
        <v>35.954224270353343</v>
      </c>
      <c r="D28" s="3">
        <v>37.434792626728118</v>
      </c>
      <c r="E28" s="3">
        <v>37.313640552995409</v>
      </c>
      <c r="F28" s="3">
        <v>31.951870967741954</v>
      </c>
      <c r="G28" s="3">
        <v>38.190080645161274</v>
      </c>
    </row>
    <row r="29" spans="2:7" x14ac:dyDescent="0.3">
      <c r="B29" s="3" t="s">
        <v>18</v>
      </c>
      <c r="C29" s="3">
        <v>34.92872503840244</v>
      </c>
      <c r="D29" s="3">
        <v>34.987834101382511</v>
      </c>
      <c r="E29" s="3">
        <v>33.552319508448534</v>
      </c>
      <c r="F29" s="3">
        <v>30.589951612903192</v>
      </c>
      <c r="G29" s="3">
        <v>35.927600806451622</v>
      </c>
    </row>
    <row r="30" spans="2:7" x14ac:dyDescent="0.3">
      <c r="B30" s="3" t="s">
        <v>19</v>
      </c>
      <c r="C30" s="3">
        <v>34.95634920634923</v>
      </c>
      <c r="D30" s="3">
        <v>29.310428571428581</v>
      </c>
      <c r="E30" s="3">
        <v>32.498555555555555</v>
      </c>
      <c r="F30" s="3">
        <v>25.517983333333341</v>
      </c>
      <c r="G30" s="3">
        <v>34.640291666666648</v>
      </c>
    </row>
    <row r="31" spans="2:7" x14ac:dyDescent="0.3">
      <c r="B31" s="3" t="s">
        <v>20</v>
      </c>
      <c r="C31" s="3">
        <v>32.780645161290337</v>
      </c>
      <c r="D31" s="3">
        <v>23.656328725038424</v>
      </c>
      <c r="E31" s="3">
        <v>28.59692780337938</v>
      </c>
      <c r="F31" s="3">
        <v>17.93772580645161</v>
      </c>
      <c r="G31" s="3">
        <v>30.93280241935485</v>
      </c>
    </row>
    <row r="32" spans="2:7" x14ac:dyDescent="0.3">
      <c r="B32" s="3" t="s">
        <v>21</v>
      </c>
      <c r="C32" s="3">
        <v>28.267619047619</v>
      </c>
      <c r="D32" s="3">
        <v>17.841476190476193</v>
      </c>
      <c r="E32" s="3">
        <v>21.45493650793647</v>
      </c>
      <c r="F32" s="3">
        <v>9.6912833333333364</v>
      </c>
      <c r="G32" s="3">
        <v>25.059854166666664</v>
      </c>
    </row>
    <row r="33" spans="2:7" x14ac:dyDescent="0.3">
      <c r="B33" s="3" t="s">
        <v>22</v>
      </c>
      <c r="C33" s="3">
        <v>22.345775729646718</v>
      </c>
      <c r="D33" s="3">
        <v>12.039767441860464</v>
      </c>
      <c r="E33" s="3">
        <v>17.327419354838668</v>
      </c>
      <c r="F33" s="3">
        <v>4.111414634146338</v>
      </c>
      <c r="G33" s="3">
        <v>20.43233739837396</v>
      </c>
    </row>
    <row r="37" spans="2:7" ht="30.75" customHeight="1" x14ac:dyDescent="0.3">
      <c r="B37" s="32" t="s">
        <v>25</v>
      </c>
      <c r="C37" s="30"/>
      <c r="D37" s="30"/>
      <c r="E37" s="30"/>
      <c r="F37" s="30"/>
      <c r="G37" s="31"/>
    </row>
    <row r="38" spans="2:7" ht="28.8" x14ac:dyDescent="0.3">
      <c r="B38" s="1"/>
      <c r="C38" s="2" t="s">
        <v>0</v>
      </c>
      <c r="D38" s="2" t="s">
        <v>1</v>
      </c>
      <c r="E38" s="2" t="s">
        <v>2</v>
      </c>
      <c r="F38" s="2" t="s">
        <v>17</v>
      </c>
      <c r="G38" s="2" t="s">
        <v>4</v>
      </c>
    </row>
    <row r="39" spans="2:7" x14ac:dyDescent="0.3">
      <c r="B39" s="1" t="s">
        <v>5</v>
      </c>
      <c r="C39" s="1">
        <v>7.4940092165898591</v>
      </c>
      <c r="D39" s="1">
        <v>-2.7495852534562237</v>
      </c>
      <c r="E39" s="1">
        <v>6.0402764976958547</v>
      </c>
      <c r="F39" s="1">
        <v>-8.1963287250384074</v>
      </c>
      <c r="G39" s="1">
        <v>8.2596572580645198</v>
      </c>
    </row>
    <row r="40" spans="2:7" x14ac:dyDescent="0.3">
      <c r="B40" s="1" t="s">
        <v>6</v>
      </c>
      <c r="C40" s="1">
        <v>10.390219224283301</v>
      </c>
      <c r="D40" s="1">
        <v>-2.1925510204081649</v>
      </c>
      <c r="E40" s="1">
        <v>8.1172278911564728</v>
      </c>
      <c r="F40" s="1">
        <v>-5.1483163265306073</v>
      </c>
      <c r="G40" s="1">
        <v>10.284888392857132</v>
      </c>
    </row>
    <row r="41" spans="2:7" x14ac:dyDescent="0.3">
      <c r="B41" s="1" t="s">
        <v>7</v>
      </c>
      <c r="C41" s="1">
        <v>15.134101382488476</v>
      </c>
      <c r="D41" s="1">
        <v>0.97093701996927895</v>
      </c>
      <c r="E41" s="1">
        <v>13.032350230414737</v>
      </c>
      <c r="F41" s="1">
        <v>-2.0629339477726574</v>
      </c>
      <c r="G41" s="1">
        <v>14.770705645161303</v>
      </c>
    </row>
    <row r="42" spans="2:7" x14ac:dyDescent="0.3">
      <c r="B42" s="1" t="s">
        <v>8</v>
      </c>
      <c r="C42" s="1">
        <v>20.475714285714282</v>
      </c>
      <c r="D42" s="1">
        <v>7.0887460317460311</v>
      </c>
      <c r="E42" s="1">
        <v>18.47977777777778</v>
      </c>
      <c r="F42" s="1">
        <v>1.7015555555555559</v>
      </c>
      <c r="G42" s="1">
        <v>20.554250000000007</v>
      </c>
    </row>
    <row r="43" spans="2:7" x14ac:dyDescent="0.3">
      <c r="B43" s="1" t="s">
        <v>9</v>
      </c>
      <c r="C43" s="1">
        <v>24.990783410138253</v>
      </c>
      <c r="D43" s="1">
        <v>12.87236559139785</v>
      </c>
      <c r="E43" s="1">
        <v>23.693655913978471</v>
      </c>
      <c r="F43" s="1">
        <v>6.0794162826420886</v>
      </c>
      <c r="G43" s="1">
        <v>26.463729838709696</v>
      </c>
    </row>
    <row r="44" spans="2:7" x14ac:dyDescent="0.3">
      <c r="B44" s="1" t="s">
        <v>10</v>
      </c>
      <c r="C44" s="1">
        <v>27.434285714285707</v>
      </c>
      <c r="D44" s="1">
        <v>15.971555555555543</v>
      </c>
      <c r="E44" s="1">
        <v>27.051841269841265</v>
      </c>
      <c r="F44" s="1">
        <v>10.985349206349195</v>
      </c>
      <c r="G44" s="1">
        <v>30.42860416666668</v>
      </c>
    </row>
    <row r="45" spans="2:7" x14ac:dyDescent="0.3">
      <c r="B45" s="1" t="s">
        <v>11</v>
      </c>
      <c r="C45" s="1">
        <v>27.193855606758827</v>
      </c>
      <c r="D45" s="1">
        <v>17.698172043010732</v>
      </c>
      <c r="E45" s="1">
        <v>27.106359447004618</v>
      </c>
      <c r="F45" s="1">
        <v>13.231874039938546</v>
      </c>
      <c r="G45" s="1">
        <v>29.898850806451616</v>
      </c>
    </row>
    <row r="46" spans="2:7" x14ac:dyDescent="0.3">
      <c r="B46" s="1" t="s">
        <v>18</v>
      </c>
      <c r="C46" s="1">
        <v>26.969585253456263</v>
      </c>
      <c r="D46" s="1">
        <v>16.735591397849468</v>
      </c>
      <c r="E46" s="1">
        <v>25.364884792626739</v>
      </c>
      <c r="F46" s="1">
        <v>11.809892473118298</v>
      </c>
      <c r="G46" s="1">
        <v>28.757177419354825</v>
      </c>
    </row>
    <row r="47" spans="2:7" x14ac:dyDescent="0.3">
      <c r="B47" s="1" t="s">
        <v>19</v>
      </c>
      <c r="C47" s="1">
        <v>25.178253968253948</v>
      </c>
      <c r="D47" s="1">
        <v>12.463063492063492</v>
      </c>
      <c r="E47" s="1">
        <v>21.390571428571423</v>
      </c>
      <c r="F47" s="1">
        <v>8.3407619047619033</v>
      </c>
      <c r="G47" s="1">
        <v>26.686354166666661</v>
      </c>
    </row>
    <row r="48" spans="2:7" x14ac:dyDescent="0.3">
      <c r="B48" s="1" t="s">
        <v>20</v>
      </c>
      <c r="C48" s="1">
        <v>19.329032258064544</v>
      </c>
      <c r="D48" s="1">
        <v>7.5008294930875534</v>
      </c>
      <c r="E48" s="1">
        <v>14.762841781874032</v>
      </c>
      <c r="F48" s="1">
        <v>3.8634869431643608</v>
      </c>
      <c r="G48" s="1">
        <v>20.151370967741919</v>
      </c>
    </row>
    <row r="49" spans="1:7" x14ac:dyDescent="0.3">
      <c r="B49" s="1" t="s">
        <v>21</v>
      </c>
      <c r="C49" s="1">
        <v>13.336666666666659</v>
      </c>
      <c r="D49" s="1">
        <v>1.9426984126984115</v>
      </c>
      <c r="E49" s="1">
        <v>8.9896825396825299</v>
      </c>
      <c r="F49" s="1">
        <v>-0.9939523809523807</v>
      </c>
      <c r="G49" s="1">
        <v>14.36156250000001</v>
      </c>
    </row>
    <row r="50" spans="1:7" x14ac:dyDescent="0.3">
      <c r="B50" s="1" t="s">
        <v>22</v>
      </c>
      <c r="C50" s="1">
        <v>8.7179723502304203</v>
      </c>
      <c r="D50" s="1">
        <v>-1.4603225806451621</v>
      </c>
      <c r="E50" s="1">
        <v>6.5120890937019915</v>
      </c>
      <c r="F50" s="1">
        <v>-4.8229953917050707</v>
      </c>
      <c r="G50" s="1">
        <v>10.492459677419351</v>
      </c>
    </row>
    <row r="53" spans="1:7" ht="28.8" x14ac:dyDescent="0.3">
      <c r="A53" s="5" t="s">
        <v>27</v>
      </c>
      <c r="B53" s="32" t="s">
        <v>28</v>
      </c>
      <c r="C53" s="30"/>
      <c r="D53" s="30"/>
      <c r="E53" s="30"/>
      <c r="F53" s="30"/>
      <c r="G53" s="31"/>
    </row>
    <row r="54" spans="1:7" ht="28.8" x14ac:dyDescent="0.3">
      <c r="B54" s="1"/>
      <c r="C54" s="2" t="s">
        <v>0</v>
      </c>
      <c r="D54" s="2" t="s">
        <v>1</v>
      </c>
      <c r="E54" s="2" t="s">
        <v>2</v>
      </c>
      <c r="F54" s="2" t="s">
        <v>3</v>
      </c>
      <c r="G54" s="2" t="s">
        <v>4</v>
      </c>
    </row>
    <row r="55" spans="1:7" x14ac:dyDescent="0.3">
      <c r="B55" s="1" t="s">
        <v>5</v>
      </c>
      <c r="C55" s="1">
        <v>9.09</v>
      </c>
      <c r="D55" s="1">
        <v>1.4724074681850499</v>
      </c>
      <c r="E55" s="1">
        <v>9.6868816344852391</v>
      </c>
      <c r="F55" s="1">
        <v>22.357606560483546</v>
      </c>
      <c r="G55" s="1">
        <v>4.9166180620788493</v>
      </c>
    </row>
    <row r="56" spans="1:7" x14ac:dyDescent="0.3">
      <c r="B56" s="1" t="s">
        <v>6</v>
      </c>
      <c r="C56" s="1">
        <v>18.929999999999996</v>
      </c>
      <c r="D56" s="1">
        <v>1.9601670899095496</v>
      </c>
      <c r="E56" s="1">
        <v>12.934665112345483</v>
      </c>
      <c r="F56" s="1">
        <v>26.956312659742032</v>
      </c>
      <c r="G56" s="1">
        <v>11.257692553533335</v>
      </c>
    </row>
    <row r="57" spans="1:7" x14ac:dyDescent="0.3">
      <c r="B57" s="1" t="s">
        <v>7</v>
      </c>
      <c r="C57" s="1">
        <v>21.64</v>
      </c>
      <c r="D57" s="1">
        <v>2.5140474120132517</v>
      </c>
      <c r="E57" s="1">
        <v>10.20880020391518</v>
      </c>
      <c r="F57" s="1">
        <v>22.664105725577546</v>
      </c>
      <c r="G57" s="1">
        <v>20.424795483666678</v>
      </c>
    </row>
    <row r="58" spans="1:7" x14ac:dyDescent="0.3">
      <c r="B58" s="1" t="s">
        <v>8</v>
      </c>
      <c r="C58" s="1">
        <v>24.511000000000003</v>
      </c>
      <c r="D58" s="1">
        <v>3.3292569569362542</v>
      </c>
      <c r="E58" s="1">
        <v>9.7461241139153323</v>
      </c>
      <c r="F58" s="1">
        <v>9.3880641504101749</v>
      </c>
      <c r="G58" s="1">
        <v>9.6050049027298918</v>
      </c>
    </row>
    <row r="59" spans="1:7" x14ac:dyDescent="0.3">
      <c r="B59" s="1" t="s">
        <v>9</v>
      </c>
      <c r="C59" s="1">
        <v>13.579999999999998</v>
      </c>
      <c r="D59" s="1">
        <v>7.5658168362603977</v>
      </c>
      <c r="E59" s="1">
        <v>6.8225236601265822</v>
      </c>
      <c r="F59" s="1">
        <v>5.2200691279818709</v>
      </c>
      <c r="G59" s="1">
        <v>22.855380961000051</v>
      </c>
    </row>
    <row r="60" spans="1:7" x14ac:dyDescent="0.3">
      <c r="B60" s="1" t="s">
        <v>10</v>
      </c>
      <c r="C60" s="1">
        <v>53.17</v>
      </c>
      <c r="D60" s="1">
        <v>16.132216955125006</v>
      </c>
      <c r="E60" s="1">
        <v>16.960784402291228</v>
      </c>
      <c r="F60" s="1">
        <v>6.150951475365547</v>
      </c>
      <c r="G60" s="1">
        <v>68.214636090025493</v>
      </c>
    </row>
    <row r="61" spans="1:7" x14ac:dyDescent="0.3">
      <c r="B61" s="1" t="s">
        <v>11</v>
      </c>
      <c r="C61" s="1">
        <v>85.424999999999983</v>
      </c>
      <c r="D61" s="1">
        <v>13.441473207991899</v>
      </c>
      <c r="E61" s="1">
        <v>46.253122231770803</v>
      </c>
      <c r="F61" s="1">
        <v>12.506821511778965</v>
      </c>
      <c r="G61" s="1">
        <v>143.34542741533375</v>
      </c>
    </row>
    <row r="62" spans="1:7" x14ac:dyDescent="0.3">
      <c r="B62" s="1" t="s">
        <v>18</v>
      </c>
      <c r="C62" s="1">
        <v>71.7</v>
      </c>
      <c r="D62" s="1">
        <v>21.982308991693635</v>
      </c>
      <c r="E62" s="1">
        <v>81.543997877403555</v>
      </c>
      <c r="F62" s="1">
        <v>14.093548262099416</v>
      </c>
      <c r="G62" s="1">
        <v>211.63909952399982</v>
      </c>
    </row>
    <row r="63" spans="1:7" x14ac:dyDescent="0.3">
      <c r="B63" s="1" t="s">
        <v>19</v>
      </c>
      <c r="C63" s="1">
        <v>40.75500000000001</v>
      </c>
      <c r="D63" s="1">
        <v>32.882755439549989</v>
      </c>
      <c r="E63" s="1">
        <v>58.664284803902284</v>
      </c>
      <c r="F63" s="1">
        <v>16.261925559179318</v>
      </c>
      <c r="G63" s="1">
        <v>206.47436728733621</v>
      </c>
    </row>
    <row r="64" spans="1:7" x14ac:dyDescent="0.3">
      <c r="B64" s="1" t="s">
        <v>20</v>
      </c>
      <c r="C64" s="1">
        <v>8.7900000000000009</v>
      </c>
      <c r="D64" s="1">
        <v>3.4466391731949981</v>
      </c>
      <c r="E64" s="1">
        <v>20.389275865198051</v>
      </c>
      <c r="F64" s="1">
        <v>8.3933299849795251</v>
      </c>
      <c r="G64" s="1">
        <v>43.910456097892059</v>
      </c>
    </row>
    <row r="65" spans="2:7" x14ac:dyDescent="0.3">
      <c r="B65" s="1" t="s">
        <v>21</v>
      </c>
      <c r="C65" s="1">
        <v>1.64</v>
      </c>
      <c r="D65" s="1">
        <v>1.5515191507349007</v>
      </c>
      <c r="E65" s="1">
        <v>14.652556670596772</v>
      </c>
      <c r="F65" s="1">
        <v>49.072128455302185</v>
      </c>
      <c r="G65" s="1">
        <v>16.275054620825994</v>
      </c>
    </row>
    <row r="66" spans="2:7" x14ac:dyDescent="0.3">
      <c r="B66" s="1" t="s">
        <v>22</v>
      </c>
      <c r="C66" s="1">
        <v>4.9699999999999989</v>
      </c>
      <c r="D66" s="1">
        <v>1.0344156186383999</v>
      </c>
      <c r="E66" s="1">
        <v>23.458852866441411</v>
      </c>
      <c r="F66" s="1">
        <v>40.899185088507657</v>
      </c>
      <c r="G66" s="1">
        <v>28.756813725853092</v>
      </c>
    </row>
    <row r="70" spans="2:7" ht="28.5" customHeight="1" x14ac:dyDescent="0.3">
      <c r="B70" s="32" t="s">
        <v>29</v>
      </c>
      <c r="C70" s="30"/>
      <c r="D70" s="30"/>
      <c r="E70" s="30"/>
      <c r="F70" s="30"/>
      <c r="G70" s="31"/>
    </row>
    <row r="71" spans="2:7" ht="28.8" x14ac:dyDescent="0.3">
      <c r="B71" s="1"/>
      <c r="C71" s="2" t="s">
        <v>0</v>
      </c>
      <c r="D71" s="2" t="s">
        <v>1</v>
      </c>
      <c r="E71" s="2" t="s">
        <v>2</v>
      </c>
      <c r="F71" s="2" t="s">
        <v>3</v>
      </c>
      <c r="G71" s="2" t="s">
        <v>4</v>
      </c>
    </row>
    <row r="72" spans="2:7" x14ac:dyDescent="0.3">
      <c r="B72" s="1" t="s">
        <v>5</v>
      </c>
      <c r="C72" s="1">
        <v>18.929032258064531</v>
      </c>
      <c r="D72" s="1">
        <v>23.254439324116721</v>
      </c>
      <c r="E72" s="1">
        <v>15.408494623655894</v>
      </c>
      <c r="F72" s="1">
        <v>5.91298003072197</v>
      </c>
      <c r="G72" s="1">
        <v>8.2259758551307858</v>
      </c>
    </row>
    <row r="73" spans="2:7" x14ac:dyDescent="0.3">
      <c r="B73" s="1" t="s">
        <v>6</v>
      </c>
      <c r="C73" s="1">
        <v>21.852210884353738</v>
      </c>
      <c r="D73" s="1">
        <v>26.018499156829701</v>
      </c>
      <c r="E73" s="1">
        <v>18.299560067681895</v>
      </c>
      <c r="F73" s="1">
        <v>9.5683783783783767</v>
      </c>
      <c r="G73" s="1">
        <v>10.589017857142851</v>
      </c>
    </row>
    <row r="74" spans="2:7" x14ac:dyDescent="0.3">
      <c r="B74" s="1" t="s">
        <v>7</v>
      </c>
      <c r="C74" s="1">
        <v>26.549462365591399</v>
      </c>
      <c r="D74" s="1">
        <v>31.406635944700461</v>
      </c>
      <c r="E74" s="1">
        <v>23.233410138248868</v>
      </c>
      <c r="F74" s="1">
        <v>14.715422427035314</v>
      </c>
      <c r="G74" s="1">
        <v>15.53264112903226</v>
      </c>
    </row>
    <row r="75" spans="2:7" x14ac:dyDescent="0.3">
      <c r="B75" s="1" t="s">
        <v>8</v>
      </c>
      <c r="C75" s="1">
        <v>33.363015873015875</v>
      </c>
      <c r="D75" s="1">
        <v>39.732333333333358</v>
      </c>
      <c r="E75" s="1">
        <v>29.896269841269831</v>
      </c>
      <c r="F75" s="1">
        <v>22.070888888888881</v>
      </c>
      <c r="G75" s="1">
        <v>21.505041666666671</v>
      </c>
    </row>
    <row r="76" spans="2:7" x14ac:dyDescent="0.3">
      <c r="B76" s="1" t="s">
        <v>9</v>
      </c>
      <c r="C76" s="1">
        <v>38.947465437788019</v>
      </c>
      <c r="D76" s="1">
        <v>46.6596774193548</v>
      </c>
      <c r="E76" s="1">
        <v>36.194639016897071</v>
      </c>
      <c r="F76" s="1">
        <v>29.188356374807981</v>
      </c>
      <c r="G76" s="1">
        <v>27.497137096774189</v>
      </c>
    </row>
    <row r="77" spans="2:7" x14ac:dyDescent="0.3">
      <c r="B77" s="1" t="s">
        <v>10</v>
      </c>
      <c r="C77" s="1">
        <v>40.374603174603195</v>
      </c>
      <c r="D77" s="1">
        <v>49.523873015873015</v>
      </c>
      <c r="E77" s="1">
        <v>41.657444444444423</v>
      </c>
      <c r="F77" s="1">
        <v>33.991317460317475</v>
      </c>
      <c r="G77" s="1">
        <v>32.198333333333338</v>
      </c>
    </row>
    <row r="78" spans="2:7" x14ac:dyDescent="0.3">
      <c r="B78" s="1" t="s">
        <v>11</v>
      </c>
      <c r="C78" s="1">
        <v>37.485099846390185</v>
      </c>
      <c r="D78" s="1">
        <v>50.165545314900136</v>
      </c>
      <c r="E78" s="1">
        <v>40.277572964669773</v>
      </c>
      <c r="F78" s="1">
        <v>36.662012288786492</v>
      </c>
      <c r="G78" s="1">
        <v>32.613870967741924</v>
      </c>
    </row>
    <row r="79" spans="2:7" x14ac:dyDescent="0.3">
      <c r="B79" s="1" t="s">
        <v>18</v>
      </c>
      <c r="C79" s="1">
        <v>36.602457757296477</v>
      </c>
      <c r="D79" s="1">
        <v>47.311705069124443</v>
      </c>
      <c r="E79" s="1">
        <v>36.583809523809506</v>
      </c>
      <c r="F79" s="1">
        <v>34.679324116743473</v>
      </c>
      <c r="G79" s="1">
        <v>31.468991935483881</v>
      </c>
    </row>
    <row r="80" spans="2:7" x14ac:dyDescent="0.3">
      <c r="B80" s="1" t="s">
        <v>19</v>
      </c>
      <c r="C80" s="1">
        <v>35.839047619047648</v>
      </c>
      <c r="D80" s="1">
        <v>41.216158730158746</v>
      </c>
      <c r="E80" s="1">
        <v>34.085714285714303</v>
      </c>
      <c r="F80" s="1">
        <v>29.690634920634924</v>
      </c>
      <c r="G80" s="1">
        <v>28.761937499999995</v>
      </c>
    </row>
    <row r="81" spans="2:7" x14ac:dyDescent="0.3">
      <c r="B81" s="1" t="s">
        <v>20</v>
      </c>
      <c r="C81" s="1">
        <v>33.070967741935505</v>
      </c>
      <c r="D81" s="1">
        <v>35.994946236559151</v>
      </c>
      <c r="E81" s="1">
        <v>29.411198156682016</v>
      </c>
      <c r="F81" s="1">
        <v>22.935007680491555</v>
      </c>
      <c r="G81" s="1">
        <v>21.877459677419363</v>
      </c>
    </row>
    <row r="82" spans="2:7" x14ac:dyDescent="0.3">
      <c r="B82" s="1" t="s">
        <v>21</v>
      </c>
      <c r="C82" s="1">
        <v>28.030793650793676</v>
      </c>
      <c r="D82" s="1">
        <v>29.123031746031771</v>
      </c>
      <c r="E82" s="1">
        <v>20.898460317460305</v>
      </c>
      <c r="F82" s="1">
        <v>13.789285714285711</v>
      </c>
      <c r="G82" s="1">
        <v>14.639145833333336</v>
      </c>
    </row>
    <row r="83" spans="2:7" x14ac:dyDescent="0.3">
      <c r="B83" s="1" t="s">
        <v>22</v>
      </c>
      <c r="C83" s="1">
        <v>21.044086021505386</v>
      </c>
      <c r="D83" s="1">
        <v>23.353581395348826</v>
      </c>
      <c r="E83" s="1">
        <v>16.424899224806182</v>
      </c>
      <c r="F83" s="1">
        <v>7.7581298299845427</v>
      </c>
      <c r="G83" s="1">
        <v>9.8943927125506015</v>
      </c>
    </row>
    <row r="87" spans="2:7" ht="23.25" customHeight="1" x14ac:dyDescent="0.3">
      <c r="B87" s="32" t="s">
        <v>30</v>
      </c>
      <c r="C87" s="30"/>
      <c r="D87" s="30"/>
      <c r="E87" s="30"/>
      <c r="F87" s="30"/>
      <c r="G87" s="31"/>
    </row>
    <row r="88" spans="2:7" ht="28.8" x14ac:dyDescent="0.3">
      <c r="B88" s="1"/>
      <c r="C88" s="2" t="s">
        <v>0</v>
      </c>
      <c r="D88" s="2" t="s">
        <v>1</v>
      </c>
      <c r="E88" s="2" t="s">
        <v>2</v>
      </c>
      <c r="F88" s="2" t="s">
        <v>3</v>
      </c>
      <c r="G88" s="2" t="s">
        <v>4</v>
      </c>
    </row>
    <row r="89" spans="2:7" x14ac:dyDescent="0.3">
      <c r="B89" s="1" t="s">
        <v>5</v>
      </c>
      <c r="C89" s="1">
        <v>4.8784946236559099</v>
      </c>
      <c r="D89" s="1">
        <v>6.2825652841781805</v>
      </c>
      <c r="E89" s="1">
        <v>4.0365898617511604</v>
      </c>
      <c r="F89" s="1">
        <v>-4.008264208909373</v>
      </c>
      <c r="G89" s="1">
        <v>8.160423387096774</v>
      </c>
    </row>
    <row r="90" spans="2:7" x14ac:dyDescent="0.3">
      <c r="B90" s="1" t="s">
        <v>6</v>
      </c>
      <c r="C90" s="1">
        <v>7.1756802721088473</v>
      </c>
      <c r="D90" s="1">
        <v>8.7603061224489878</v>
      </c>
      <c r="E90" s="1">
        <v>5.8957653061224571</v>
      </c>
      <c r="F90" s="1">
        <v>-1.9086224489795907</v>
      </c>
      <c r="G90" s="1">
        <v>10.308035714285712</v>
      </c>
    </row>
    <row r="91" spans="2:7" x14ac:dyDescent="0.3">
      <c r="B91" s="1" t="s">
        <v>7</v>
      </c>
      <c r="C91" s="1">
        <v>12.278494623655913</v>
      </c>
      <c r="D91" s="1">
        <v>12.493993855606762</v>
      </c>
      <c r="E91" s="1">
        <v>10.172411674347144</v>
      </c>
      <c r="F91" s="1">
        <v>0.70241167434715845</v>
      </c>
      <c r="G91" s="1">
        <v>15.128810483870977</v>
      </c>
    </row>
    <row r="92" spans="2:7" x14ac:dyDescent="0.3">
      <c r="B92" s="1" t="s">
        <v>8</v>
      </c>
      <c r="C92" s="1">
        <v>17.662857142857153</v>
      </c>
      <c r="D92" s="1">
        <v>18.974428571428568</v>
      </c>
      <c r="E92" s="1">
        <v>16.077888888888893</v>
      </c>
      <c r="F92" s="1">
        <v>5.5535079365079367</v>
      </c>
      <c r="G92" s="1">
        <v>21.190958333333342</v>
      </c>
    </row>
    <row r="93" spans="2:7" x14ac:dyDescent="0.3">
      <c r="B93" s="1" t="s">
        <v>9</v>
      </c>
      <c r="C93" s="1">
        <v>23.373118279569912</v>
      </c>
      <c r="D93" s="1">
        <v>25.241658986175111</v>
      </c>
      <c r="E93" s="1">
        <v>21.037926267281115</v>
      </c>
      <c r="F93" s="1">
        <v>10.796758832565285</v>
      </c>
      <c r="G93" s="1">
        <v>27.12056451612904</v>
      </c>
    </row>
    <row r="94" spans="2:7" x14ac:dyDescent="0.3">
      <c r="B94" s="1" t="s">
        <v>10</v>
      </c>
      <c r="C94" s="1">
        <v>26.533809523809513</v>
      </c>
      <c r="D94" s="1">
        <v>28.821857142857173</v>
      </c>
      <c r="E94" s="1">
        <v>25.541920634920629</v>
      </c>
      <c r="F94" s="1">
        <v>15.165253968253957</v>
      </c>
      <c r="G94" s="1">
        <v>31.978249999999992</v>
      </c>
    </row>
    <row r="95" spans="2:7" x14ac:dyDescent="0.3">
      <c r="B95" s="1" t="s">
        <v>11</v>
      </c>
      <c r="C95" s="1">
        <v>27.446082949308757</v>
      </c>
      <c r="D95" s="1">
        <v>31.339631336405517</v>
      </c>
      <c r="E95" s="1">
        <v>27.141536098310269</v>
      </c>
      <c r="F95" s="1">
        <v>16.864731182795701</v>
      </c>
      <c r="G95" s="1">
        <v>32.697237903225805</v>
      </c>
    </row>
    <row r="96" spans="2:7" x14ac:dyDescent="0.3">
      <c r="B96" s="1" t="s">
        <v>18</v>
      </c>
      <c r="C96" s="1">
        <v>26.987711213517652</v>
      </c>
      <c r="D96" s="1">
        <v>30.694654377880219</v>
      </c>
      <c r="E96" s="1">
        <v>26.239692780337876</v>
      </c>
      <c r="F96" s="1">
        <v>15.469139784946231</v>
      </c>
      <c r="G96" s="1">
        <v>31.541592741935492</v>
      </c>
    </row>
    <row r="97" spans="1:17" x14ac:dyDescent="0.3">
      <c r="B97" s="1" t="s">
        <v>19</v>
      </c>
      <c r="C97" s="1">
        <v>24.572698412698426</v>
      </c>
      <c r="D97" s="1">
        <v>25.301682539682535</v>
      </c>
      <c r="E97" s="1">
        <v>22.684587301587285</v>
      </c>
      <c r="F97" s="1">
        <v>12.876444444444441</v>
      </c>
      <c r="G97" s="1">
        <v>29.084645833333337</v>
      </c>
    </row>
    <row r="98" spans="1:17" x14ac:dyDescent="0.3">
      <c r="B98" s="1" t="s">
        <v>20</v>
      </c>
      <c r="C98" s="1">
        <v>18.121198156682038</v>
      </c>
      <c r="D98" s="1">
        <v>19.138694316436268</v>
      </c>
      <c r="E98" s="1">
        <v>16.03380952380952</v>
      </c>
      <c r="F98" s="1">
        <v>7.9824423963133704</v>
      </c>
      <c r="G98" s="1">
        <v>22.419052419354852</v>
      </c>
    </row>
    <row r="99" spans="1:17" x14ac:dyDescent="0.3">
      <c r="B99" s="1" t="s">
        <v>21</v>
      </c>
      <c r="C99" s="1">
        <v>12.415555555555558</v>
      </c>
      <c r="D99" s="1">
        <v>12.83212698412698</v>
      </c>
      <c r="E99" s="1">
        <v>9.448476190476196</v>
      </c>
      <c r="F99" s="1">
        <v>2.6731111111111119</v>
      </c>
      <c r="G99" s="1">
        <v>14.940874999999989</v>
      </c>
    </row>
    <row r="100" spans="1:17" x14ac:dyDescent="0.3">
      <c r="B100" s="1" t="s">
        <v>22</v>
      </c>
      <c r="C100" s="1">
        <v>6.2370967741935477</v>
      </c>
      <c r="D100" s="1">
        <v>7.2904454685099802</v>
      </c>
      <c r="E100" s="1">
        <v>5.1725038402457697</v>
      </c>
      <c r="F100" s="1">
        <v>-1.3488479262672817</v>
      </c>
      <c r="G100" s="1">
        <v>10.196512096774187</v>
      </c>
    </row>
    <row r="104" spans="1:17" ht="28.8" x14ac:dyDescent="0.3">
      <c r="A104" s="5" t="s">
        <v>32</v>
      </c>
      <c r="B104" s="7"/>
      <c r="C104" s="33" t="s">
        <v>31</v>
      </c>
      <c r="D104" s="33"/>
      <c r="E104" s="33"/>
      <c r="F104" s="33"/>
      <c r="G104" s="33"/>
      <c r="H104" s="30" t="s">
        <v>33</v>
      </c>
      <c r="I104" s="30"/>
      <c r="J104" s="30"/>
      <c r="K104" s="30"/>
      <c r="L104" s="31"/>
      <c r="M104" s="30" t="s">
        <v>34</v>
      </c>
      <c r="N104" s="30"/>
      <c r="O104" s="30"/>
      <c r="P104" s="30"/>
      <c r="Q104" s="31"/>
    </row>
    <row r="105" spans="1:17" ht="43.2" x14ac:dyDescent="0.3">
      <c r="B105" s="1"/>
      <c r="C105" s="2" t="s">
        <v>35</v>
      </c>
      <c r="D105" s="2" t="s">
        <v>38</v>
      </c>
      <c r="E105" s="2" t="s">
        <v>39</v>
      </c>
      <c r="F105" s="2" t="s">
        <v>40</v>
      </c>
      <c r="G105" s="2" t="s">
        <v>41</v>
      </c>
      <c r="H105" s="2" t="s">
        <v>36</v>
      </c>
      <c r="I105" s="2" t="s">
        <v>42</v>
      </c>
      <c r="J105" s="2" t="s">
        <v>43</v>
      </c>
      <c r="K105" s="2" t="s">
        <v>44</v>
      </c>
      <c r="L105" s="2" t="s">
        <v>45</v>
      </c>
      <c r="M105" s="2" t="s">
        <v>37</v>
      </c>
      <c r="N105" s="2" t="s">
        <v>46</v>
      </c>
      <c r="O105" s="2" t="s">
        <v>47</v>
      </c>
      <c r="P105" s="2" t="s">
        <v>48</v>
      </c>
      <c r="Q105" s="2" t="s">
        <v>49</v>
      </c>
    </row>
    <row r="106" spans="1:17" x14ac:dyDescent="0.3">
      <c r="B106" s="1" t="s">
        <v>5</v>
      </c>
      <c r="C106" s="1">
        <v>14.294999999999998</v>
      </c>
      <c r="D106" s="1">
        <v>6.5650810209379813</v>
      </c>
      <c r="E106" s="1">
        <v>27.64111076516452</v>
      </c>
      <c r="F106" s="1">
        <v>29.485544493169431</v>
      </c>
      <c r="G106" s="1">
        <v>10.59623194436994</v>
      </c>
      <c r="H106" s="1">
        <v>19.042012288786502</v>
      </c>
      <c r="I106" s="1">
        <v>17.433870967741921</v>
      </c>
      <c r="J106" s="1">
        <v>15.951420890937017</v>
      </c>
      <c r="K106" s="1">
        <v>3.7917964669738882</v>
      </c>
      <c r="L106" s="1">
        <v>14.184641153371853</v>
      </c>
      <c r="M106" s="1">
        <v>6.1862519201228849</v>
      </c>
      <c r="N106" s="1">
        <v>1.7664900153609784</v>
      </c>
      <c r="O106" s="1">
        <v>5.0384331797235076</v>
      </c>
      <c r="P106" s="1">
        <v>-6.1022964669738897</v>
      </c>
      <c r="Q106" s="1">
        <v>8.210040322580646</v>
      </c>
    </row>
    <row r="107" spans="1:17" x14ac:dyDescent="0.3">
      <c r="B107" s="1" t="s">
        <v>6</v>
      </c>
      <c r="C107" s="1">
        <v>28.65</v>
      </c>
      <c r="D107" s="1">
        <v>7.7627132591005426</v>
      </c>
      <c r="E107" s="1">
        <v>20.519727390836241</v>
      </c>
      <c r="F107" s="1">
        <v>32.853068779266991</v>
      </c>
      <c r="G107" s="1">
        <v>20.608621216479779</v>
      </c>
      <c r="H107" s="1">
        <v>22.022534013605455</v>
      </c>
      <c r="I107" s="1">
        <v>19.864072512647571</v>
      </c>
      <c r="J107" s="1">
        <v>18.705075143453094</v>
      </c>
      <c r="K107" s="1">
        <v>7.6667909591006929</v>
      </c>
      <c r="L107" s="1">
        <v>16.974265565739564</v>
      </c>
      <c r="M107" s="1">
        <v>8.7829497481960743</v>
      </c>
      <c r="N107" s="1">
        <v>3.2838775510204115</v>
      </c>
      <c r="O107" s="1">
        <v>7.0064965986394654</v>
      </c>
      <c r="P107" s="1">
        <v>-3.528469387755099</v>
      </c>
      <c r="Q107" s="1">
        <v>10.296462053571421</v>
      </c>
    </row>
    <row r="108" spans="1:17" x14ac:dyDescent="0.3">
      <c r="B108" s="1" t="s">
        <v>7</v>
      </c>
      <c r="C108" s="1">
        <v>27.490000000000009</v>
      </c>
      <c r="D108" s="1">
        <v>4.0310779017736245</v>
      </c>
      <c r="E108" s="1">
        <v>34.492314415112588</v>
      </c>
      <c r="F108" s="1">
        <v>27.949190092092657</v>
      </c>
      <c r="G108" s="1">
        <v>29.50364249328938</v>
      </c>
      <c r="H108" s="1">
        <v>26.708832565284183</v>
      </c>
      <c r="I108" s="1">
        <v>25.212427035330258</v>
      </c>
      <c r="J108" s="1">
        <v>23.830614439324137</v>
      </c>
      <c r="K108" s="1">
        <v>13.176646697388623</v>
      </c>
      <c r="L108" s="1">
        <v>22.11779233870967</v>
      </c>
      <c r="M108" s="1">
        <v>13.706298003072195</v>
      </c>
      <c r="N108" s="1">
        <v>6.7324654377880204</v>
      </c>
      <c r="O108" s="1">
        <v>11.60238095238094</v>
      </c>
      <c r="P108" s="1">
        <v>-0.68026113671274946</v>
      </c>
      <c r="Q108" s="1">
        <v>14.949758064516139</v>
      </c>
    </row>
    <row r="109" spans="1:17" x14ac:dyDescent="0.3">
      <c r="B109" s="1" t="s">
        <v>8</v>
      </c>
      <c r="C109" s="1">
        <v>21.838000000000001</v>
      </c>
      <c r="D109" s="1">
        <v>6.3938323615044164</v>
      </c>
      <c r="E109" s="1">
        <v>20.388197957111018</v>
      </c>
      <c r="F109" s="1">
        <v>12.521643385684417</v>
      </c>
      <c r="G109" s="1">
        <v>10.916203014686271</v>
      </c>
      <c r="H109" s="1">
        <v>33.491190476190468</v>
      </c>
      <c r="I109" s="1">
        <v>33.079912698412691</v>
      </c>
      <c r="J109" s="1">
        <v>30.665301587301599</v>
      </c>
      <c r="K109" s="1">
        <v>19.679002777777786</v>
      </c>
      <c r="L109" s="1">
        <v>28.813375000000001</v>
      </c>
      <c r="M109" s="1">
        <v>19.069285714285719</v>
      </c>
      <c r="N109" s="1">
        <v>13.031587301587299</v>
      </c>
      <c r="O109" s="1">
        <v>17.278833333333338</v>
      </c>
      <c r="P109" s="1">
        <v>3.6275317460317464</v>
      </c>
      <c r="Q109" s="1">
        <v>20.872604166666676</v>
      </c>
    </row>
    <row r="110" spans="1:17" x14ac:dyDescent="0.3">
      <c r="B110" s="1" t="s">
        <v>9</v>
      </c>
      <c r="C110" s="1">
        <v>15.887499999999999</v>
      </c>
      <c r="D110" s="1">
        <v>10.555176131072077</v>
      </c>
      <c r="E110" s="1">
        <v>44.19809117124484</v>
      </c>
      <c r="F110" s="1">
        <v>6.8776876768065174</v>
      </c>
      <c r="G110" s="1">
        <v>29.700528713843784</v>
      </c>
      <c r="H110" s="1">
        <v>38.828110599078336</v>
      </c>
      <c r="I110" s="1">
        <v>39.756989247311822</v>
      </c>
      <c r="J110" s="1">
        <v>36.943786482334865</v>
      </c>
      <c r="K110" s="1">
        <v>26.350500768049155</v>
      </c>
      <c r="L110" s="1">
        <v>34.73615927419354</v>
      </c>
      <c r="M110" s="1">
        <v>24.181950844854082</v>
      </c>
      <c r="N110" s="1">
        <v>19.057012288786481</v>
      </c>
      <c r="O110" s="1">
        <v>22.365791090629791</v>
      </c>
      <c r="P110" s="1">
        <v>8.4380875576036871</v>
      </c>
      <c r="Q110" s="1">
        <v>26.792147177419366</v>
      </c>
    </row>
    <row r="111" spans="1:17" x14ac:dyDescent="0.3">
      <c r="B111" s="1" t="s">
        <v>10</v>
      </c>
      <c r="C111" s="1">
        <v>55.919999999999987</v>
      </c>
      <c r="D111" s="1">
        <v>24.188159341165473</v>
      </c>
      <c r="E111" s="1">
        <v>65.320195291844115</v>
      </c>
      <c r="F111" s="1">
        <v>9.4089539502977395</v>
      </c>
      <c r="G111" s="1">
        <v>95.322428508073159</v>
      </c>
      <c r="H111" s="1">
        <v>40.020079365079354</v>
      </c>
      <c r="I111" s="1">
        <v>42.819301587301567</v>
      </c>
      <c r="J111" s="1">
        <v>41.550674603174599</v>
      </c>
      <c r="K111" s="1">
        <v>31.750200396825395</v>
      </c>
      <c r="L111" s="1">
        <v>38.117302083333335</v>
      </c>
      <c r="M111" s="1">
        <v>26.984047619047608</v>
      </c>
      <c r="N111" s="1">
        <v>22.396706349206358</v>
      </c>
      <c r="O111" s="1">
        <v>26.296880952380945</v>
      </c>
      <c r="P111" s="1">
        <v>13.075301587301576</v>
      </c>
      <c r="Q111" s="1">
        <v>31.203427083333338</v>
      </c>
    </row>
    <row r="112" spans="1:17" x14ac:dyDescent="0.3">
      <c r="B112" s="1" t="s">
        <v>11</v>
      </c>
      <c r="C112" s="1">
        <v>136.48249999999996</v>
      </c>
      <c r="D112" s="1">
        <v>21.276956579577575</v>
      </c>
      <c r="E112" s="1">
        <v>104.20921385736568</v>
      </c>
      <c r="F112" s="1">
        <v>17.955905432397874</v>
      </c>
      <c r="G112" s="1">
        <v>235.60582395082054</v>
      </c>
      <c r="H112" s="1">
        <v>36.719662058371767</v>
      </c>
      <c r="I112" s="1">
        <v>43.800168970814127</v>
      </c>
      <c r="J112" s="1">
        <v>38.795606758832591</v>
      </c>
      <c r="K112" s="1">
        <v>34.306941628264227</v>
      </c>
      <c r="L112" s="1">
        <v>35.401975806451603</v>
      </c>
      <c r="M112" s="1">
        <v>27.319969278033792</v>
      </c>
      <c r="N112" s="1">
        <v>24.518901689708123</v>
      </c>
      <c r="O112" s="1">
        <v>27.123947772657445</v>
      </c>
      <c r="P112" s="1">
        <v>15.048302611367124</v>
      </c>
      <c r="Q112" s="1">
        <v>31.298044354838709</v>
      </c>
    </row>
    <row r="113" spans="2:17" x14ac:dyDescent="0.3">
      <c r="B113" s="1" t="s">
        <v>18</v>
      </c>
      <c r="C113" s="1">
        <v>140.07999999999998</v>
      </c>
      <c r="D113" s="1">
        <v>27.532159182481582</v>
      </c>
      <c r="E113" s="1">
        <v>86.453956397532664</v>
      </c>
      <c r="F113" s="1">
        <v>20.159648563283621</v>
      </c>
      <c r="G113" s="1">
        <v>254.01487182617421</v>
      </c>
      <c r="H113" s="1">
        <v>35.765591397849462</v>
      </c>
      <c r="I113" s="1">
        <v>41.14976958525348</v>
      </c>
      <c r="J113" s="1">
        <v>35.06806451612902</v>
      </c>
      <c r="K113" s="1">
        <v>32.634637864823333</v>
      </c>
      <c r="L113" s="1">
        <v>33.698296370967753</v>
      </c>
      <c r="M113" s="1">
        <v>26.978648233486958</v>
      </c>
      <c r="N113" s="1">
        <v>23.715122887864844</v>
      </c>
      <c r="O113" s="1">
        <v>25.802288786482308</v>
      </c>
      <c r="P113" s="1">
        <v>13.639516129032264</v>
      </c>
      <c r="Q113" s="1">
        <v>30.14938508064516</v>
      </c>
    </row>
    <row r="114" spans="2:17" x14ac:dyDescent="0.3">
      <c r="B114" s="1" t="s">
        <v>19</v>
      </c>
      <c r="C114" s="1">
        <v>54.172500000000014</v>
      </c>
      <c r="D114" s="1">
        <v>39.308356791841668</v>
      </c>
      <c r="E114" s="1">
        <v>113.45988282886479</v>
      </c>
      <c r="F114" s="1">
        <v>28.689841810642417</v>
      </c>
      <c r="G114" s="1">
        <v>230.26548158304763</v>
      </c>
      <c r="H114" s="1">
        <v>35.397698412698439</v>
      </c>
      <c r="I114" s="1">
        <v>35.263293650793663</v>
      </c>
      <c r="J114" s="1">
        <v>33.292134920634929</v>
      </c>
      <c r="K114" s="1">
        <v>27.604309126984134</v>
      </c>
      <c r="L114" s="1">
        <v>31.701114583333322</v>
      </c>
      <c r="M114" s="1">
        <v>24.875476190476185</v>
      </c>
      <c r="N114" s="1">
        <v>18.882373015873014</v>
      </c>
      <c r="O114" s="1">
        <v>22.037579365079353</v>
      </c>
      <c r="P114" s="1">
        <v>10.608603174603171</v>
      </c>
      <c r="Q114" s="1">
        <v>27.8855</v>
      </c>
    </row>
    <row r="115" spans="2:17" x14ac:dyDescent="0.3">
      <c r="B115" s="1" t="s">
        <v>20</v>
      </c>
      <c r="C115" s="1">
        <v>15.932500000000001</v>
      </c>
      <c r="D115" s="1">
        <v>17.39053992577702</v>
      </c>
      <c r="E115" s="1">
        <v>26.567144191786543</v>
      </c>
      <c r="F115" s="1">
        <v>17.765393008049724</v>
      </c>
      <c r="G115" s="1">
        <v>50.117176821656017</v>
      </c>
      <c r="H115" s="1">
        <v>32.925806451612921</v>
      </c>
      <c r="I115" s="1">
        <v>29.82563748079879</v>
      </c>
      <c r="J115" s="1">
        <v>29.004062980030696</v>
      </c>
      <c r="K115" s="1">
        <v>20.436366743471581</v>
      </c>
      <c r="L115" s="1">
        <v>26.405131048387105</v>
      </c>
      <c r="M115" s="1">
        <v>18.725115207373292</v>
      </c>
      <c r="N115" s="1">
        <v>13.319761904761911</v>
      </c>
      <c r="O115" s="1">
        <v>15.398325652841777</v>
      </c>
      <c r="P115" s="1">
        <v>5.9229646697388656</v>
      </c>
      <c r="Q115" s="1">
        <v>21.285211693548383</v>
      </c>
    </row>
    <row r="116" spans="2:17" x14ac:dyDescent="0.3">
      <c r="B116" s="1" t="s">
        <v>21</v>
      </c>
      <c r="C116" s="1">
        <v>4.0974999999999993</v>
      </c>
      <c r="D116" s="1">
        <v>9.2232740538747411</v>
      </c>
      <c r="E116" s="1">
        <v>24.893057034860636</v>
      </c>
      <c r="F116" s="1">
        <v>63.163343139037792</v>
      </c>
      <c r="G116" s="1">
        <v>35.629170172244848</v>
      </c>
      <c r="H116" s="1">
        <v>28.149206349206338</v>
      </c>
      <c r="I116" s="1">
        <v>23.482253968253982</v>
      </c>
      <c r="J116" s="1">
        <v>21.176698412698386</v>
      </c>
      <c r="K116" s="1">
        <v>11.740284523809525</v>
      </c>
      <c r="L116" s="1">
        <v>19.849499999999999</v>
      </c>
      <c r="M116" s="1">
        <v>12.876111111111108</v>
      </c>
      <c r="N116" s="1">
        <v>7.387412698412696</v>
      </c>
      <c r="O116" s="1">
        <v>9.219079365079363</v>
      </c>
      <c r="P116" s="1">
        <v>0.83957936507936559</v>
      </c>
      <c r="Q116" s="1">
        <v>14.65121875</v>
      </c>
    </row>
    <row r="117" spans="2:17" x14ac:dyDescent="0.3">
      <c r="B117" s="1" t="s">
        <v>22</v>
      </c>
      <c r="C117" s="1">
        <v>7.4274999999999993</v>
      </c>
      <c r="D117" s="1">
        <v>7.2429100364236758</v>
      </c>
      <c r="E117" s="1">
        <v>29.984167051470138</v>
      </c>
      <c r="F117" s="1">
        <v>52.686901667284104</v>
      </c>
      <c r="G117" s="1">
        <v>43.79065443333549</v>
      </c>
      <c r="H117" s="1">
        <v>21.694930875576052</v>
      </c>
      <c r="I117" s="1">
        <v>17.696674418604644</v>
      </c>
      <c r="J117" s="1">
        <v>16.876159289822425</v>
      </c>
      <c r="K117" s="1">
        <v>5.9347722320654404</v>
      </c>
      <c r="L117" s="1">
        <v>15.163365055462281</v>
      </c>
      <c r="M117" s="1">
        <v>7.477534562211984</v>
      </c>
      <c r="N117" s="1">
        <v>2.9150614439324092</v>
      </c>
      <c r="O117" s="1">
        <v>5.8422964669738811</v>
      </c>
      <c r="P117" s="1">
        <v>-3.0859216589861762</v>
      </c>
      <c r="Q117" s="1">
        <v>10.34448588709677</v>
      </c>
    </row>
    <row r="120" spans="2:17" ht="24.75" customHeight="1" x14ac:dyDescent="0.3"/>
    <row r="137" ht="26.25" customHeight="1" x14ac:dyDescent="0.3"/>
  </sheetData>
  <mergeCells count="9">
    <mergeCell ref="H104:L104"/>
    <mergeCell ref="M104:Q104"/>
    <mergeCell ref="B1:G1"/>
    <mergeCell ref="B20:G20"/>
    <mergeCell ref="B37:G37"/>
    <mergeCell ref="B53:G53"/>
    <mergeCell ref="B70:G70"/>
    <mergeCell ref="B87:G87"/>
    <mergeCell ref="C104:G10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J48"/>
  <sheetViews>
    <sheetView topLeftCell="C1" zoomScaleNormal="100" workbookViewId="0">
      <selection activeCell="C8" sqref="C8"/>
    </sheetView>
  </sheetViews>
  <sheetFormatPr defaultRowHeight="14.4" x14ac:dyDescent="0.3"/>
  <cols>
    <col min="1" max="1" width="11.6640625" customWidth="1"/>
    <col min="2" max="2" width="9.109375" style="8"/>
    <col min="3" max="3" width="6.6640625" customWidth="1"/>
    <col min="4" max="4" width="7.6640625" style="8" customWidth="1"/>
    <col min="5" max="5" width="8" customWidth="1"/>
    <col min="6" max="6" width="8.44140625" customWidth="1"/>
    <col min="7" max="7" width="7.109375" customWidth="1"/>
    <col min="8" max="8" width="8" customWidth="1"/>
    <col min="9" max="9" width="7.88671875" customWidth="1"/>
    <col min="10" max="11" width="8" customWidth="1"/>
    <col min="12" max="13" width="7.33203125" customWidth="1"/>
    <col min="14" max="14" width="7.109375" customWidth="1"/>
    <col min="15" max="15" width="7.6640625" customWidth="1"/>
    <col min="16" max="17" width="7.33203125" customWidth="1"/>
    <col min="18" max="18" width="7.5546875" customWidth="1"/>
    <col min="19" max="20" width="8.6640625" customWidth="1"/>
    <col min="21" max="21" width="7.33203125" customWidth="1"/>
    <col min="22" max="22" width="6.88671875" customWidth="1"/>
    <col min="23" max="23" width="6.44140625" customWidth="1"/>
    <col min="24" max="24" width="6.88671875" customWidth="1"/>
    <col min="25" max="25" width="6.6640625" customWidth="1"/>
    <col min="26" max="26" width="7.44140625" customWidth="1"/>
    <col min="27" max="27" width="8.109375" customWidth="1"/>
    <col min="28" max="28" width="7.6640625" customWidth="1"/>
    <col min="29" max="29" width="11" bestFit="1" customWidth="1"/>
  </cols>
  <sheetData>
    <row r="4" spans="1:36" ht="28.8" x14ac:dyDescent="0.3">
      <c r="A4" s="20" t="s">
        <v>85</v>
      </c>
    </row>
    <row r="5" spans="1:36" ht="34.5" customHeight="1" x14ac:dyDescent="0.3">
      <c r="A5" s="8" t="s">
        <v>50</v>
      </c>
      <c r="B5" s="6"/>
      <c r="C5" s="33" t="s">
        <v>31</v>
      </c>
      <c r="D5" s="33"/>
      <c r="E5" s="33"/>
      <c r="F5" s="33"/>
      <c r="G5" s="33"/>
      <c r="H5" s="33"/>
      <c r="I5" s="33"/>
      <c r="J5" s="33"/>
      <c r="K5" s="32" t="s">
        <v>33</v>
      </c>
      <c r="L5" s="30"/>
      <c r="M5" s="30"/>
      <c r="N5" s="30"/>
      <c r="O5" s="30"/>
      <c r="P5" s="30"/>
      <c r="Q5" s="30"/>
      <c r="R5" s="30"/>
      <c r="S5" s="31"/>
      <c r="T5" s="32" t="s">
        <v>34</v>
      </c>
      <c r="U5" s="30"/>
      <c r="V5" s="30"/>
      <c r="W5" s="30"/>
      <c r="X5" s="30"/>
      <c r="Y5" s="30"/>
      <c r="Z5" s="30"/>
      <c r="AA5" s="30"/>
      <c r="AB5" s="31"/>
      <c r="AC5" t="s">
        <v>77</v>
      </c>
      <c r="AD5" s="6"/>
      <c r="AE5" s="33" t="s">
        <v>78</v>
      </c>
      <c r="AF5" s="33"/>
      <c r="AG5" s="33"/>
      <c r="AH5" s="33"/>
      <c r="AI5" s="33"/>
      <c r="AJ5" s="33"/>
    </row>
    <row r="6" spans="1:36" ht="34.5" customHeight="1" x14ac:dyDescent="0.3">
      <c r="A6" s="8"/>
      <c r="B6" s="6"/>
      <c r="C6" s="33" t="s">
        <v>55</v>
      </c>
      <c r="D6" s="33"/>
      <c r="E6" s="33" t="s">
        <v>56</v>
      </c>
      <c r="F6" s="33"/>
      <c r="G6" s="33" t="s">
        <v>57</v>
      </c>
      <c r="H6" s="33"/>
      <c r="I6" s="33" t="s">
        <v>58</v>
      </c>
      <c r="J6" s="33"/>
      <c r="K6" s="6"/>
      <c r="L6" s="33" t="s">
        <v>55</v>
      </c>
      <c r="M6" s="33"/>
      <c r="N6" s="33" t="s">
        <v>56</v>
      </c>
      <c r="O6" s="33"/>
      <c r="P6" s="33" t="s">
        <v>57</v>
      </c>
      <c r="Q6" s="33"/>
      <c r="R6" s="33" t="s">
        <v>58</v>
      </c>
      <c r="S6" s="33"/>
      <c r="T6" s="6"/>
      <c r="U6" s="33" t="s">
        <v>55</v>
      </c>
      <c r="V6" s="33"/>
      <c r="W6" s="33" t="s">
        <v>56</v>
      </c>
      <c r="X6" s="33"/>
      <c r="Y6" s="33" t="s">
        <v>57</v>
      </c>
      <c r="Z6" s="33"/>
      <c r="AA6" s="33" t="s">
        <v>58</v>
      </c>
      <c r="AB6" s="33"/>
      <c r="AD6" s="6"/>
      <c r="AE6" s="33" t="s">
        <v>111</v>
      </c>
      <c r="AF6" s="33"/>
      <c r="AG6" s="33" t="s">
        <v>80</v>
      </c>
      <c r="AH6" s="33"/>
      <c r="AI6" s="33" t="s">
        <v>81</v>
      </c>
      <c r="AJ6" s="33"/>
    </row>
    <row r="7" spans="1:36" s="8" customFormat="1" ht="57.6" x14ac:dyDescent="0.3">
      <c r="B7" s="1"/>
      <c r="C7" s="2" t="s">
        <v>103</v>
      </c>
      <c r="D7" s="2" t="s">
        <v>104</v>
      </c>
      <c r="E7" s="2" t="s">
        <v>105</v>
      </c>
      <c r="F7" s="2" t="s">
        <v>106</v>
      </c>
      <c r="G7" s="2" t="s">
        <v>107</v>
      </c>
      <c r="H7" s="2" t="s">
        <v>108</v>
      </c>
      <c r="I7" s="2" t="s">
        <v>109</v>
      </c>
      <c r="J7" s="2" t="s">
        <v>110</v>
      </c>
      <c r="K7" s="2"/>
      <c r="L7" s="2" t="s">
        <v>61</v>
      </c>
      <c r="M7" s="2" t="s">
        <v>62</v>
      </c>
      <c r="N7" s="2" t="s">
        <v>63</v>
      </c>
      <c r="O7" s="2" t="s">
        <v>64</v>
      </c>
      <c r="P7" s="2" t="s">
        <v>65</v>
      </c>
      <c r="Q7" s="2" t="s">
        <v>66</v>
      </c>
      <c r="R7" s="2" t="s">
        <v>67</v>
      </c>
      <c r="S7" s="2" t="s">
        <v>68</v>
      </c>
      <c r="T7" s="2"/>
      <c r="U7" s="2" t="s">
        <v>69</v>
      </c>
      <c r="V7" s="2" t="s">
        <v>70</v>
      </c>
      <c r="W7" s="2" t="s">
        <v>71</v>
      </c>
      <c r="X7" s="2" t="s">
        <v>72</v>
      </c>
      <c r="Y7" s="2" t="s">
        <v>73</v>
      </c>
      <c r="Z7" s="2" t="s">
        <v>74</v>
      </c>
      <c r="AA7" s="2" t="s">
        <v>75</v>
      </c>
      <c r="AB7" s="2" t="s">
        <v>76</v>
      </c>
      <c r="AD7" s="1"/>
      <c r="AE7" s="2" t="s">
        <v>101</v>
      </c>
      <c r="AF7" s="2" t="s">
        <v>102</v>
      </c>
      <c r="AG7" s="2" t="s">
        <v>36</v>
      </c>
      <c r="AH7" s="2" t="s">
        <v>82</v>
      </c>
      <c r="AI7" s="2" t="s">
        <v>37</v>
      </c>
      <c r="AJ7" s="2" t="s">
        <v>83</v>
      </c>
    </row>
    <row r="8" spans="1:36" x14ac:dyDescent="0.3">
      <c r="B8" s="1" t="s">
        <v>5</v>
      </c>
      <c r="C8" s="9">
        <v>21.9818</v>
      </c>
      <c r="D8" s="1">
        <v>26.801500000000001</v>
      </c>
      <c r="E8" s="10">
        <v>9.4181818181818198</v>
      </c>
      <c r="F8" s="10">
        <v>18.54</v>
      </c>
      <c r="G8" s="10">
        <v>21.355</v>
      </c>
      <c r="H8" s="10">
        <v>18.914999999999999</v>
      </c>
      <c r="I8" s="10">
        <f>C8+E8+G8</f>
        <v>52.754981818181818</v>
      </c>
      <c r="J8" s="10">
        <f>D8+F8+H8</f>
        <v>64.256499999999988</v>
      </c>
      <c r="K8" s="1" t="s">
        <v>5</v>
      </c>
      <c r="L8" s="10">
        <v>19.239999999999998</v>
      </c>
      <c r="M8" s="10">
        <v>19.02</v>
      </c>
      <c r="N8" s="10">
        <v>19.639600000000002</v>
      </c>
      <c r="O8" s="10">
        <v>19.350000000000001</v>
      </c>
      <c r="P8" s="10">
        <v>18.8</v>
      </c>
      <c r="Q8" s="10">
        <v>18.860600000000002</v>
      </c>
      <c r="R8" s="10">
        <f>(L8+N8+P8)/3</f>
        <v>19.226533333333332</v>
      </c>
      <c r="S8" s="10">
        <f>(M8+O8+Q8)/3</f>
        <v>19.076866666666671</v>
      </c>
      <c r="T8" s="1" t="s">
        <v>5</v>
      </c>
      <c r="U8" s="1">
        <v>7.2292258064509998</v>
      </c>
      <c r="V8" s="1">
        <v>6.966745307917888</v>
      </c>
      <c r="W8" s="1">
        <v>4.9134900000000004</v>
      </c>
      <c r="X8" s="1">
        <v>4.9398999999999997</v>
      </c>
      <c r="Y8" s="1">
        <v>5.7903200000000004</v>
      </c>
      <c r="Z8" s="1">
        <v>6.3879999999999999</v>
      </c>
      <c r="AA8" s="15">
        <f>(U8+W8+Y8)/3</f>
        <v>5.9776786021503341</v>
      </c>
      <c r="AB8" s="16">
        <f>(V8+X8+Z8)/3</f>
        <v>6.0982151026392968</v>
      </c>
      <c r="AD8" s="1" t="s">
        <v>5</v>
      </c>
      <c r="AE8" s="9">
        <v>52.754981818181818</v>
      </c>
      <c r="AF8" s="1">
        <v>64.256499999999988</v>
      </c>
      <c r="AG8" s="10">
        <v>19.226533333333332</v>
      </c>
      <c r="AH8" s="10">
        <v>19.076866666666671</v>
      </c>
      <c r="AI8" s="10">
        <v>5.9776786021503341</v>
      </c>
      <c r="AJ8" s="10">
        <v>6.0982151026392968</v>
      </c>
    </row>
    <row r="9" spans="1:36" x14ac:dyDescent="0.3">
      <c r="B9" s="1" t="s">
        <v>6</v>
      </c>
      <c r="C9" s="9">
        <v>44.045499999999997</v>
      </c>
      <c r="D9" s="1">
        <v>57.099699999999999</v>
      </c>
      <c r="E9" s="11">
        <v>17.172727272727272</v>
      </c>
      <c r="F9" s="11">
        <v>46.417700000000004</v>
      </c>
      <c r="G9" s="10">
        <v>38.494999999999997</v>
      </c>
      <c r="H9" s="10">
        <v>37.873399999999997</v>
      </c>
      <c r="I9" s="10">
        <f t="shared" ref="I9:I19" si="0">C9+E9+G9</f>
        <v>99.713227272727266</v>
      </c>
      <c r="J9" s="10">
        <f t="shared" ref="J9:J19" si="1">D9+F9+H9</f>
        <v>141.39080000000001</v>
      </c>
      <c r="K9" s="1" t="s">
        <v>6</v>
      </c>
      <c r="L9" s="14">
        <v>22.55</v>
      </c>
      <c r="M9" s="14">
        <v>22.97</v>
      </c>
      <c r="N9" s="14">
        <v>22.2087</v>
      </c>
      <c r="O9" s="14">
        <v>22.55</v>
      </c>
      <c r="P9" s="14">
        <v>22.123000000000001</v>
      </c>
      <c r="Q9" s="14">
        <v>22.2135</v>
      </c>
      <c r="R9" s="10">
        <f t="shared" ref="R9:R19" si="2">(L9+N9+P9)/3</f>
        <v>22.293900000000004</v>
      </c>
      <c r="S9" s="10">
        <f t="shared" ref="S9:S19" si="3">(M9+O9+Q9)/3</f>
        <v>22.577833333333331</v>
      </c>
      <c r="T9" s="1" t="s">
        <v>6</v>
      </c>
      <c r="U9" s="1">
        <v>9.8403225806451555</v>
      </c>
      <c r="V9" s="1">
        <v>10.1760132258064</v>
      </c>
      <c r="W9" s="1">
        <v>7.4187099999999999</v>
      </c>
      <c r="X9" s="1">
        <v>7.12</v>
      </c>
      <c r="Y9" s="1">
        <v>9.1936400000000003</v>
      </c>
      <c r="Z9" s="1">
        <v>9.3699999999999992</v>
      </c>
      <c r="AA9" s="15">
        <f t="shared" ref="AA9:AA19" si="4">(U9+W9+Y9)/3</f>
        <v>8.8175575268817195</v>
      </c>
      <c r="AB9" s="16">
        <f t="shared" ref="AB9:AB19" si="5">(V9+X9+Z9)/3</f>
        <v>8.8886710752688014</v>
      </c>
      <c r="AD9" s="1" t="s">
        <v>6</v>
      </c>
      <c r="AE9" s="9">
        <v>99.713227272727295</v>
      </c>
      <c r="AF9" s="1">
        <v>141.39080000000001</v>
      </c>
      <c r="AG9" s="11">
        <v>22.293900000000004</v>
      </c>
      <c r="AH9" s="11">
        <v>22.577833333333331</v>
      </c>
      <c r="AI9" s="10">
        <v>8.8175575268817195</v>
      </c>
      <c r="AJ9" s="10">
        <v>8.8886710752688014</v>
      </c>
    </row>
    <row r="10" spans="1:36" x14ac:dyDescent="0.3">
      <c r="B10" s="1" t="s">
        <v>51</v>
      </c>
      <c r="C10" s="9">
        <v>35.818199999999997</v>
      </c>
      <c r="D10" s="1">
        <v>26.4481</v>
      </c>
      <c r="E10" s="10">
        <v>16.472727272727269</v>
      </c>
      <c r="F10" s="10">
        <v>10.3649</v>
      </c>
      <c r="G10" s="11">
        <v>44.05</v>
      </c>
      <c r="H10" s="11">
        <v>27.043800000000001</v>
      </c>
      <c r="I10" s="10">
        <f t="shared" si="0"/>
        <v>96.340927272727271</v>
      </c>
      <c r="J10" s="10">
        <f t="shared" si="1"/>
        <v>63.856800000000007</v>
      </c>
      <c r="K10" s="1" t="s">
        <v>51</v>
      </c>
      <c r="L10" s="14">
        <v>27.46</v>
      </c>
      <c r="M10" s="14">
        <v>27.72</v>
      </c>
      <c r="N10" s="14">
        <v>26.349599999999999</v>
      </c>
      <c r="O10" s="14">
        <v>26.58</v>
      </c>
      <c r="P10" s="14">
        <v>28.282900000000001</v>
      </c>
      <c r="Q10" s="14">
        <v>28.3659</v>
      </c>
      <c r="R10" s="10">
        <f t="shared" si="2"/>
        <v>27.364166666666666</v>
      </c>
      <c r="S10" s="10">
        <f t="shared" si="3"/>
        <v>27.555299999999999</v>
      </c>
      <c r="T10" s="1" t="s">
        <v>51</v>
      </c>
      <c r="U10" s="1">
        <v>14.266862170087979</v>
      </c>
      <c r="V10" s="1">
        <v>14.012295894428153</v>
      </c>
      <c r="W10" s="1">
        <v>12.321999999999999</v>
      </c>
      <c r="X10" s="1">
        <v>12.55</v>
      </c>
      <c r="Y10" s="1">
        <v>14.889699999999999</v>
      </c>
      <c r="Z10" s="1">
        <v>14.881</v>
      </c>
      <c r="AA10" s="15">
        <f t="shared" si="4"/>
        <v>13.826187390029325</v>
      </c>
      <c r="AB10" s="16">
        <f t="shared" si="5"/>
        <v>13.814431964809385</v>
      </c>
      <c r="AD10" s="1" t="s">
        <v>51</v>
      </c>
      <c r="AE10" s="9">
        <v>96.340927272727271</v>
      </c>
      <c r="AF10" s="1">
        <v>63.856800000000007</v>
      </c>
      <c r="AG10" s="10">
        <v>27.364166666666666</v>
      </c>
      <c r="AH10" s="10">
        <v>27.555299999999999</v>
      </c>
      <c r="AI10" s="11">
        <v>13.826187390029325</v>
      </c>
      <c r="AJ10" s="11">
        <v>13.814431964809385</v>
      </c>
    </row>
    <row r="11" spans="1:36" x14ac:dyDescent="0.3">
      <c r="B11" s="1" t="s">
        <v>52</v>
      </c>
      <c r="C11" s="9">
        <v>19.454499999999999</v>
      </c>
      <c r="D11" s="1">
        <v>16.2544</v>
      </c>
      <c r="E11" s="10">
        <v>27.86363636363636</v>
      </c>
      <c r="F11" s="10">
        <v>43.221499999999999</v>
      </c>
      <c r="G11" s="11">
        <v>47.784999999999997</v>
      </c>
      <c r="H11" s="11">
        <v>29.869599999999998</v>
      </c>
      <c r="I11" s="10">
        <f t="shared" si="0"/>
        <v>95.103136363636352</v>
      </c>
      <c r="J11" s="10">
        <f t="shared" si="1"/>
        <v>89.345499999999987</v>
      </c>
      <c r="K11" s="1" t="s">
        <v>52</v>
      </c>
      <c r="L11" s="14">
        <v>34.26</v>
      </c>
      <c r="M11" s="14">
        <v>35.119999999999997</v>
      </c>
      <c r="N11" s="10">
        <v>32.839399999999998</v>
      </c>
      <c r="O11" s="10">
        <v>31.87</v>
      </c>
      <c r="P11" s="14">
        <v>33.409999999999997</v>
      </c>
      <c r="Q11" s="14">
        <v>34.478499999999997</v>
      </c>
      <c r="R11" s="10">
        <f t="shared" si="2"/>
        <v>33.503133333333331</v>
      </c>
      <c r="S11" s="10">
        <f t="shared" si="3"/>
        <v>33.822833333333328</v>
      </c>
      <c r="T11" s="1" t="s">
        <v>52</v>
      </c>
      <c r="U11" s="1">
        <v>19.351212121212125</v>
      </c>
      <c r="V11" s="1">
        <v>19.054502878787876</v>
      </c>
      <c r="W11" s="1">
        <v>17.4361</v>
      </c>
      <c r="X11" s="1">
        <v>17.04</v>
      </c>
      <c r="Y11" s="1">
        <v>20.299700000000001</v>
      </c>
      <c r="Z11" s="1">
        <v>20.74</v>
      </c>
      <c r="AA11" s="15">
        <f t="shared" si="4"/>
        <v>19.029004040404043</v>
      </c>
      <c r="AB11" s="16">
        <f t="shared" si="5"/>
        <v>18.94483429292929</v>
      </c>
      <c r="AD11" s="1" t="s">
        <v>52</v>
      </c>
      <c r="AE11" s="9">
        <v>95.103136363636352</v>
      </c>
      <c r="AF11" s="1">
        <v>89.345499999999987</v>
      </c>
      <c r="AG11" s="10">
        <v>33.503133333333331</v>
      </c>
      <c r="AH11" s="10">
        <v>33.822833333333328</v>
      </c>
      <c r="AI11" s="11">
        <v>19.029004040404043</v>
      </c>
      <c r="AJ11" s="11">
        <v>18.94483429292929</v>
      </c>
    </row>
    <row r="12" spans="1:36" x14ac:dyDescent="0.3">
      <c r="B12" s="1" t="s">
        <v>9</v>
      </c>
      <c r="C12" s="9">
        <v>19.636399999999998</v>
      </c>
      <c r="D12" s="1">
        <v>31.334499999999998</v>
      </c>
      <c r="E12" s="10">
        <v>16.554545454545455</v>
      </c>
      <c r="F12" s="10">
        <v>24.241700000000002</v>
      </c>
      <c r="G12" s="11">
        <v>23.055</v>
      </c>
      <c r="H12" s="11">
        <v>9.4254999999999995</v>
      </c>
      <c r="I12" s="10">
        <f t="shared" si="0"/>
        <v>59.245945454545456</v>
      </c>
      <c r="J12" s="10">
        <f t="shared" si="1"/>
        <v>65.0017</v>
      </c>
      <c r="K12" s="1" t="s">
        <v>9</v>
      </c>
      <c r="L12" s="14">
        <v>38.909999999999997</v>
      </c>
      <c r="M12" s="14">
        <v>39.979999999999997</v>
      </c>
      <c r="N12" s="14">
        <v>38.926699999999997</v>
      </c>
      <c r="O12" s="14">
        <v>39.508000000000003</v>
      </c>
      <c r="P12" s="14">
        <v>39.974200000000003</v>
      </c>
      <c r="Q12" s="14">
        <v>40.028100000000002</v>
      </c>
      <c r="R12" s="10">
        <f t="shared" si="2"/>
        <v>39.270299999999999</v>
      </c>
      <c r="S12" s="10">
        <f t="shared" si="3"/>
        <v>39.838699999999996</v>
      </c>
      <c r="T12" s="1" t="s">
        <v>9</v>
      </c>
      <c r="U12" s="1">
        <v>24.2868914956012</v>
      </c>
      <c r="V12" s="1">
        <v>24.8485414956012</v>
      </c>
      <c r="W12" s="1">
        <v>23.258099999999999</v>
      </c>
      <c r="X12" s="1">
        <v>23.47</v>
      </c>
      <c r="Y12" s="1">
        <v>25.216100000000001</v>
      </c>
      <c r="Z12" s="1">
        <v>25.185199999999998</v>
      </c>
      <c r="AA12" s="15">
        <f t="shared" si="4"/>
        <v>24.253697165200396</v>
      </c>
      <c r="AB12" s="16">
        <f t="shared" si="5"/>
        <v>24.501247165200397</v>
      </c>
      <c r="AD12" s="1" t="s">
        <v>9</v>
      </c>
      <c r="AE12" s="9">
        <v>59.245945454545456</v>
      </c>
      <c r="AF12" s="1">
        <v>65.0017</v>
      </c>
      <c r="AG12" s="10">
        <v>39.270299999999999</v>
      </c>
      <c r="AH12" s="10">
        <v>39.838699999999996</v>
      </c>
      <c r="AI12" s="11">
        <v>24.253697165200396</v>
      </c>
      <c r="AJ12" s="11">
        <v>24.501247165200397</v>
      </c>
    </row>
    <row r="13" spans="1:36" x14ac:dyDescent="0.3">
      <c r="B13" s="1" t="s">
        <v>53</v>
      </c>
      <c r="C13" s="9">
        <v>42.7545</v>
      </c>
      <c r="D13" s="1">
        <v>32.764800000000001</v>
      </c>
      <c r="E13" s="10">
        <v>26.872727272727264</v>
      </c>
      <c r="F13" s="10">
        <v>34.729599999999998</v>
      </c>
      <c r="G13" s="10">
        <v>34.924999999999997</v>
      </c>
      <c r="H13" s="10">
        <v>44.288200000000003</v>
      </c>
      <c r="I13" s="10">
        <f t="shared" si="0"/>
        <v>104.55222727272727</v>
      </c>
      <c r="J13" s="10">
        <f t="shared" si="1"/>
        <v>111.7826</v>
      </c>
      <c r="K13" s="1" t="s">
        <v>53</v>
      </c>
      <c r="L13" s="11">
        <v>39.25</v>
      </c>
      <c r="M13" s="11">
        <v>38.119999999999997</v>
      </c>
      <c r="N13" s="11">
        <v>40.9345</v>
      </c>
      <c r="O13" s="11">
        <v>41.938000000000002</v>
      </c>
      <c r="P13" s="11">
        <v>39.369999999999997</v>
      </c>
      <c r="Q13" s="11">
        <v>40.706000000000003</v>
      </c>
      <c r="R13" s="10">
        <f t="shared" si="2"/>
        <v>39.851499999999994</v>
      </c>
      <c r="S13" s="10">
        <f t="shared" si="3"/>
        <v>40.254666666666665</v>
      </c>
      <c r="T13" s="1" t="s">
        <v>53</v>
      </c>
      <c r="U13" s="13">
        <v>27.354848484848482</v>
      </c>
      <c r="V13" s="13">
        <v>26.084049545454501</v>
      </c>
      <c r="W13" s="1">
        <v>26.7364</v>
      </c>
      <c r="X13" s="1">
        <v>27.36</v>
      </c>
      <c r="Y13" s="13">
        <v>27.556699999999999</v>
      </c>
      <c r="Z13" s="13">
        <v>27.16</v>
      </c>
      <c r="AA13" s="15">
        <f t="shared" si="4"/>
        <v>27.215982828282829</v>
      </c>
      <c r="AB13" s="16">
        <f t="shared" si="5"/>
        <v>26.868016515151499</v>
      </c>
      <c r="AD13" s="1" t="s">
        <v>53</v>
      </c>
      <c r="AE13" s="9">
        <v>104.55222727272727</v>
      </c>
      <c r="AF13" s="1">
        <v>111.7826</v>
      </c>
      <c r="AG13" s="10">
        <v>39.851499999999994</v>
      </c>
      <c r="AH13" s="10">
        <v>40.254666666666665</v>
      </c>
      <c r="AI13" s="10">
        <v>27.215982828282829</v>
      </c>
      <c r="AJ13" s="10">
        <v>26.868016515151499</v>
      </c>
    </row>
    <row r="14" spans="1:36" x14ac:dyDescent="0.3">
      <c r="B14" s="13" t="s">
        <v>54</v>
      </c>
      <c r="C14" s="12">
        <v>167.66399999999999</v>
      </c>
      <c r="D14" s="13">
        <v>230.67</v>
      </c>
      <c r="E14" s="10">
        <v>87.454545454545467</v>
      </c>
      <c r="F14" s="10">
        <v>101.992</v>
      </c>
      <c r="G14" s="11">
        <v>94.094999999999999</v>
      </c>
      <c r="H14" s="11">
        <v>147.155</v>
      </c>
      <c r="I14" s="10">
        <f t="shared" si="0"/>
        <v>349.21354545454545</v>
      </c>
      <c r="J14" s="10">
        <f t="shared" si="1"/>
        <v>479.81700000000001</v>
      </c>
      <c r="K14" s="1" t="s">
        <v>54</v>
      </c>
      <c r="L14" s="11">
        <v>35.729999999999997</v>
      </c>
      <c r="M14" s="11">
        <v>35.04</v>
      </c>
      <c r="N14" s="11">
        <v>37.195300000000003</v>
      </c>
      <c r="O14" s="11">
        <v>38.197699999999998</v>
      </c>
      <c r="P14" s="11">
        <v>37.048999999999999</v>
      </c>
      <c r="Q14" s="11">
        <v>36.97</v>
      </c>
      <c r="R14" s="10">
        <f t="shared" si="2"/>
        <v>36.658099999999997</v>
      </c>
      <c r="S14" s="10">
        <f t="shared" si="3"/>
        <v>36.735899999999994</v>
      </c>
      <c r="T14" s="1" t="s">
        <v>54</v>
      </c>
      <c r="U14" s="1">
        <v>27.070674486803515</v>
      </c>
      <c r="V14" s="1">
        <v>26.853618475073311</v>
      </c>
      <c r="W14" s="1">
        <v>27.200900000000001</v>
      </c>
      <c r="X14" s="1">
        <v>27.6</v>
      </c>
      <c r="Y14" s="1">
        <v>27.472899999999999</v>
      </c>
      <c r="Z14" s="1">
        <v>27.08</v>
      </c>
      <c r="AA14" s="15">
        <f t="shared" si="4"/>
        <v>27.248158162267838</v>
      </c>
      <c r="AB14" s="16">
        <f t="shared" si="5"/>
        <v>27.177872825024437</v>
      </c>
      <c r="AD14" s="13" t="s">
        <v>54</v>
      </c>
      <c r="AE14" s="12">
        <v>349.21354545454545</v>
      </c>
      <c r="AF14" s="13">
        <v>479.81700000000001</v>
      </c>
      <c r="AG14" s="10">
        <v>36.658099999999997</v>
      </c>
      <c r="AH14" s="10">
        <v>36.735899999999994</v>
      </c>
      <c r="AI14" s="11">
        <v>27.248158162267838</v>
      </c>
      <c r="AJ14" s="11">
        <v>27.177872825024437</v>
      </c>
    </row>
    <row r="15" spans="1:36" x14ac:dyDescent="0.3">
      <c r="B15" s="13" t="s">
        <v>12</v>
      </c>
      <c r="C15" s="12">
        <v>178.2</v>
      </c>
      <c r="D15" s="13">
        <v>251.136</v>
      </c>
      <c r="E15" s="10">
        <v>57.06363636363637</v>
      </c>
      <c r="F15" s="10">
        <v>54.606400000000001</v>
      </c>
      <c r="G15" s="11">
        <v>77.040000000000006</v>
      </c>
      <c r="H15" s="11">
        <v>122.96899999999999</v>
      </c>
      <c r="I15" s="10">
        <f t="shared" si="0"/>
        <v>312.30363636363637</v>
      </c>
      <c r="J15" s="10">
        <f t="shared" si="1"/>
        <v>428.71139999999997</v>
      </c>
      <c r="K15" s="1" t="s">
        <v>12</v>
      </c>
      <c r="L15" s="14">
        <v>34.909999999999997</v>
      </c>
      <c r="M15" s="14">
        <v>35.25</v>
      </c>
      <c r="N15" s="14">
        <v>36.394100000000002</v>
      </c>
      <c r="O15" s="14">
        <v>37.17</v>
      </c>
      <c r="P15" s="14">
        <v>35.877000000000002</v>
      </c>
      <c r="Q15" s="14">
        <v>36.106900000000003</v>
      </c>
      <c r="R15" s="10">
        <f t="shared" si="2"/>
        <v>35.727033333333338</v>
      </c>
      <c r="S15" s="10">
        <f t="shared" si="3"/>
        <v>36.175633333333337</v>
      </c>
      <c r="T15" s="1" t="s">
        <v>12</v>
      </c>
      <c r="U15" s="13">
        <v>26.779765395894437</v>
      </c>
      <c r="V15" s="13">
        <v>28.2545</v>
      </c>
      <c r="W15" s="1">
        <v>26.821400000000001</v>
      </c>
      <c r="X15" s="1">
        <v>26.6</v>
      </c>
      <c r="Y15" s="1">
        <v>27.048100000000002</v>
      </c>
      <c r="Z15" s="1">
        <v>27.49</v>
      </c>
      <c r="AA15" s="15">
        <f t="shared" si="4"/>
        <v>26.883088465298147</v>
      </c>
      <c r="AB15" s="16">
        <f t="shared" si="5"/>
        <v>27.448166666666665</v>
      </c>
      <c r="AD15" s="13" t="s">
        <v>12</v>
      </c>
      <c r="AE15" s="12">
        <v>312.30363636363637</v>
      </c>
      <c r="AF15" s="13">
        <v>428.71139999999997</v>
      </c>
      <c r="AG15" s="10">
        <v>35.727033333333338</v>
      </c>
      <c r="AH15" s="10">
        <v>36.175633333333337</v>
      </c>
      <c r="AI15" s="11">
        <v>26.883088465298147</v>
      </c>
      <c r="AJ15" s="11">
        <v>27.448166666666665</v>
      </c>
    </row>
    <row r="16" spans="1:36" x14ac:dyDescent="0.3">
      <c r="B16" s="13" t="s">
        <v>13</v>
      </c>
      <c r="C16" s="12">
        <v>85.7273</v>
      </c>
      <c r="D16" s="13">
        <v>146.89699999999999</v>
      </c>
      <c r="E16" s="10">
        <v>33.190909090909095</v>
      </c>
      <c r="F16" s="10">
        <v>49.419499999999999</v>
      </c>
      <c r="G16" s="10">
        <v>29.925000000000001</v>
      </c>
      <c r="H16" s="10">
        <v>37.607599999999998</v>
      </c>
      <c r="I16" s="10">
        <f t="shared" si="0"/>
        <v>148.84320909090911</v>
      </c>
      <c r="J16" s="10">
        <f t="shared" si="1"/>
        <v>233.92409999999998</v>
      </c>
      <c r="K16" s="1" t="s">
        <v>13</v>
      </c>
      <c r="L16" s="11">
        <v>34.76</v>
      </c>
      <c r="M16" s="11">
        <v>34.67</v>
      </c>
      <c r="N16" s="14">
        <v>35.675199999999997</v>
      </c>
      <c r="O16" s="14">
        <v>35.770000000000003</v>
      </c>
      <c r="P16" s="11">
        <v>35.468299999999999</v>
      </c>
      <c r="Q16" s="11">
        <v>35.515300000000003</v>
      </c>
      <c r="R16" s="10">
        <f t="shared" si="2"/>
        <v>35.301166666666667</v>
      </c>
      <c r="S16" s="10">
        <f t="shared" si="3"/>
        <v>35.318433333333331</v>
      </c>
      <c r="T16" s="1" t="s">
        <v>13</v>
      </c>
      <c r="U16" s="1">
        <v>24.958484848484801</v>
      </c>
      <c r="V16" s="1">
        <v>24.622295909090901</v>
      </c>
      <c r="W16" s="1">
        <v>24.018799999999999</v>
      </c>
      <c r="X16" s="1">
        <v>24.440999999999999</v>
      </c>
      <c r="Y16" s="1">
        <v>25.12</v>
      </c>
      <c r="Z16" s="1">
        <v>25.2285</v>
      </c>
      <c r="AA16" s="15">
        <f t="shared" si="4"/>
        <v>24.699094949494935</v>
      </c>
      <c r="AB16" s="16">
        <f t="shared" si="5"/>
        <v>24.763931969696966</v>
      </c>
      <c r="AD16" s="13" t="s">
        <v>13</v>
      </c>
      <c r="AE16" s="12">
        <v>148.84320909090911</v>
      </c>
      <c r="AF16" s="13">
        <v>233.92409999999998</v>
      </c>
      <c r="AG16" s="10">
        <v>35.301166666666667</v>
      </c>
      <c r="AH16" s="10">
        <v>35.318433333333331</v>
      </c>
      <c r="AI16" s="10">
        <v>24.699094949494935</v>
      </c>
      <c r="AJ16" s="10">
        <v>24.763931969696966</v>
      </c>
    </row>
    <row r="17" spans="2:36" x14ac:dyDescent="0.3">
      <c r="B17" s="1" t="s">
        <v>14</v>
      </c>
      <c r="C17" s="9">
        <v>19.872699999999998</v>
      </c>
      <c r="D17" s="1">
        <v>17.222799999999999</v>
      </c>
      <c r="E17" s="10">
        <v>1.4090909090909092</v>
      </c>
      <c r="F17" s="10">
        <v>0</v>
      </c>
      <c r="G17" s="10">
        <v>10.52</v>
      </c>
      <c r="H17" s="10">
        <v>12.508900000000001</v>
      </c>
      <c r="I17" s="10">
        <f t="shared" si="0"/>
        <v>31.801790909090908</v>
      </c>
      <c r="J17" s="10">
        <f t="shared" si="1"/>
        <v>29.7317</v>
      </c>
      <c r="K17" s="1" t="s">
        <v>14</v>
      </c>
      <c r="L17" s="11">
        <v>32.450000000000003</v>
      </c>
      <c r="M17" s="11">
        <v>32.200000000000003</v>
      </c>
      <c r="N17" s="10">
        <v>32.793500000000002</v>
      </c>
      <c r="O17" s="10">
        <v>32.520000000000003</v>
      </c>
      <c r="P17" s="11">
        <v>34.029000000000003</v>
      </c>
      <c r="Q17" s="11">
        <v>33.491</v>
      </c>
      <c r="R17" s="10">
        <f t="shared" si="2"/>
        <v>33.090833333333336</v>
      </c>
      <c r="S17" s="10">
        <f t="shared" si="3"/>
        <v>32.737000000000002</v>
      </c>
      <c r="T17" s="1" t="s">
        <v>14</v>
      </c>
      <c r="U17" s="1">
        <v>18.3604105571848</v>
      </c>
      <c r="V17" s="1">
        <v>18.615067155425201</v>
      </c>
      <c r="W17" s="13">
        <v>17.046299999999999</v>
      </c>
      <c r="X17" s="13">
        <v>18.190000000000001</v>
      </c>
      <c r="Y17" s="1">
        <v>20.198399999999999</v>
      </c>
      <c r="Z17" s="1">
        <v>19.91</v>
      </c>
      <c r="AA17" s="15">
        <f t="shared" si="4"/>
        <v>18.535036852394931</v>
      </c>
      <c r="AB17" s="16">
        <f t="shared" si="5"/>
        <v>18.905022385141734</v>
      </c>
      <c r="AD17" s="1" t="s">
        <v>14</v>
      </c>
      <c r="AE17" s="9">
        <v>31.801790909090908</v>
      </c>
      <c r="AF17" s="1">
        <v>29.7317</v>
      </c>
      <c r="AG17" s="10">
        <v>33.090833333333336</v>
      </c>
      <c r="AH17" s="10">
        <v>32.737000000000002</v>
      </c>
      <c r="AI17" s="10">
        <v>18.535036852394931</v>
      </c>
      <c r="AJ17" s="10">
        <v>18.905022385141734</v>
      </c>
    </row>
    <row r="18" spans="2:36" x14ac:dyDescent="0.3">
      <c r="B18" s="1" t="s">
        <v>15</v>
      </c>
      <c r="C18" s="9">
        <v>3.1818200000000001</v>
      </c>
      <c r="D18" s="1">
        <v>2.76118</v>
      </c>
      <c r="E18" s="10">
        <v>1.4090909090909092</v>
      </c>
      <c r="F18" s="10">
        <v>1.8621799999999999</v>
      </c>
      <c r="G18" s="10">
        <v>9.7349999999999994</v>
      </c>
      <c r="H18" s="10">
        <v>13.638999999999999</v>
      </c>
      <c r="I18" s="10">
        <f t="shared" si="0"/>
        <v>14.325910909090908</v>
      </c>
      <c r="J18" s="10">
        <f t="shared" si="1"/>
        <v>18.262360000000001</v>
      </c>
      <c r="K18" s="1" t="s">
        <v>15</v>
      </c>
      <c r="L18" s="14">
        <v>27.65</v>
      </c>
      <c r="M18" s="14">
        <v>28.49</v>
      </c>
      <c r="N18" s="10">
        <v>27.597000000000001</v>
      </c>
      <c r="O18" s="10">
        <v>27.021999999999998</v>
      </c>
      <c r="P18" s="14">
        <v>27.34</v>
      </c>
      <c r="Q18" s="14">
        <v>27.478400000000001</v>
      </c>
      <c r="R18" s="10">
        <f t="shared" si="2"/>
        <v>27.529</v>
      </c>
      <c r="S18" s="10">
        <f t="shared" si="3"/>
        <v>27.663466666666665</v>
      </c>
      <c r="T18" s="1" t="s">
        <v>15</v>
      </c>
      <c r="U18" s="1">
        <v>12.970303030303</v>
      </c>
      <c r="V18" s="1">
        <v>12.932740000000001</v>
      </c>
      <c r="W18" s="13">
        <v>12.735200000000001</v>
      </c>
      <c r="X18" s="13">
        <v>11.98</v>
      </c>
      <c r="Y18" s="13">
        <v>12.8163</v>
      </c>
      <c r="Z18" s="13">
        <v>13.954000000000001</v>
      </c>
      <c r="AA18" s="15">
        <f t="shared" si="4"/>
        <v>12.840601010100999</v>
      </c>
      <c r="AB18" s="16">
        <f t="shared" si="5"/>
        <v>12.955579999999999</v>
      </c>
      <c r="AD18" s="1" t="s">
        <v>15</v>
      </c>
      <c r="AE18" s="9">
        <v>14.325910909090908</v>
      </c>
      <c r="AF18" s="1">
        <v>18.262360000000001</v>
      </c>
      <c r="AG18" s="10">
        <v>27.529</v>
      </c>
      <c r="AH18" s="10">
        <v>27.663466666666665</v>
      </c>
      <c r="AI18" s="10">
        <v>12.840601010100999</v>
      </c>
      <c r="AJ18" s="10">
        <v>12.955579999999999</v>
      </c>
    </row>
    <row r="19" spans="2:36" x14ac:dyDescent="0.3">
      <c r="B19" s="1" t="s">
        <v>16</v>
      </c>
      <c r="C19" s="9">
        <v>14.7455</v>
      </c>
      <c r="D19" s="1">
        <v>17.726600000000001</v>
      </c>
      <c r="E19" s="10">
        <v>6.254545454545454</v>
      </c>
      <c r="F19" s="10">
        <v>15.170500000000001</v>
      </c>
      <c r="G19" s="10">
        <v>11.775</v>
      </c>
      <c r="H19" s="10">
        <v>15.354900000000001</v>
      </c>
      <c r="I19" s="10">
        <f t="shared" si="0"/>
        <v>32.775045454545456</v>
      </c>
      <c r="J19" s="10">
        <f t="shared" si="1"/>
        <v>48.252000000000002</v>
      </c>
      <c r="K19" s="1" t="s">
        <v>16</v>
      </c>
      <c r="L19" s="14">
        <v>21.69</v>
      </c>
      <c r="M19" s="14">
        <v>22.02</v>
      </c>
      <c r="N19" s="10">
        <v>21.654800000000002</v>
      </c>
      <c r="O19" s="10">
        <v>21.2</v>
      </c>
      <c r="P19" s="14">
        <v>21.673999999999999</v>
      </c>
      <c r="Q19" s="14">
        <v>22.1128</v>
      </c>
      <c r="R19" s="10">
        <f t="shared" si="2"/>
        <v>21.672933333333333</v>
      </c>
      <c r="S19" s="10">
        <f t="shared" si="3"/>
        <v>21.777599999999996</v>
      </c>
      <c r="T19" s="1" t="s">
        <v>16</v>
      </c>
      <c r="U19" s="1">
        <v>8.35</v>
      </c>
      <c r="V19" s="1">
        <v>8.0682851906158373</v>
      </c>
      <c r="W19" s="1">
        <v>6.1622599999999998</v>
      </c>
      <c r="X19" s="1">
        <v>6.4</v>
      </c>
      <c r="Y19" s="1">
        <v>7.6277400000000002</v>
      </c>
      <c r="Z19" s="1">
        <v>7.8318000000000003</v>
      </c>
      <c r="AA19" s="15">
        <f t="shared" si="4"/>
        <v>7.38</v>
      </c>
      <c r="AB19" s="16">
        <f t="shared" si="5"/>
        <v>7.4333617302052799</v>
      </c>
      <c r="AD19" s="1" t="s">
        <v>16</v>
      </c>
      <c r="AE19" s="9">
        <v>32.775045454545456</v>
      </c>
      <c r="AF19" s="1">
        <v>48.252000000000002</v>
      </c>
      <c r="AG19" s="10">
        <v>21.672933333333333</v>
      </c>
      <c r="AH19" s="10">
        <v>21.777599999999996</v>
      </c>
      <c r="AI19" s="10">
        <v>7.38</v>
      </c>
      <c r="AJ19" s="10">
        <v>7.4333617302052799</v>
      </c>
    </row>
    <row r="20" spans="2:36" x14ac:dyDescent="0.3"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8"/>
      <c r="V20" s="8"/>
      <c r="W20" s="8"/>
      <c r="X20" s="8"/>
      <c r="Y20" s="8"/>
      <c r="Z20" s="8"/>
      <c r="AA20" s="18"/>
      <c r="AB20" s="19"/>
    </row>
    <row r="21" spans="2:36" x14ac:dyDescent="0.3"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8"/>
      <c r="V21" s="8"/>
      <c r="W21" s="8"/>
      <c r="X21" s="8"/>
      <c r="Y21" s="8"/>
      <c r="Z21" s="8"/>
      <c r="AA21" s="18"/>
      <c r="AB21" s="19"/>
    </row>
    <row r="22" spans="2:36" x14ac:dyDescent="0.3"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8"/>
      <c r="V22" s="8"/>
      <c r="W22" s="8"/>
      <c r="X22" s="8"/>
      <c r="Y22" s="8"/>
      <c r="Z22" s="8"/>
      <c r="AA22" s="18"/>
      <c r="AB22" s="19"/>
    </row>
    <row r="23" spans="2:36" x14ac:dyDescent="0.3"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8"/>
      <c r="V23" s="8"/>
      <c r="W23" s="8"/>
      <c r="X23" s="8"/>
      <c r="Y23" s="8"/>
      <c r="Z23" s="8"/>
      <c r="AA23" s="18"/>
      <c r="AB23" s="19"/>
    </row>
    <row r="24" spans="2:36" x14ac:dyDescent="0.3"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8"/>
      <c r="V24" s="8"/>
      <c r="W24" s="8"/>
      <c r="X24" s="8"/>
      <c r="Y24" s="8"/>
      <c r="Z24" s="8"/>
      <c r="AA24" s="18"/>
      <c r="AB24" s="19"/>
    </row>
    <row r="25" spans="2:36" x14ac:dyDescent="0.3"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8"/>
      <c r="V25" s="8"/>
      <c r="W25" s="8"/>
      <c r="X25" s="8"/>
      <c r="Y25" s="8"/>
      <c r="Z25" s="8"/>
      <c r="AA25" s="18"/>
      <c r="AB25" s="19"/>
    </row>
    <row r="26" spans="2:36" x14ac:dyDescent="0.3"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8"/>
      <c r="V26" s="8"/>
      <c r="W26" s="8"/>
      <c r="X26" s="8"/>
      <c r="Y26" s="8"/>
      <c r="Z26" s="8"/>
      <c r="AA26" s="18"/>
      <c r="AB26" s="19"/>
    </row>
    <row r="27" spans="2:36" x14ac:dyDescent="0.3"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8"/>
      <c r="V27" s="8"/>
      <c r="W27" s="8"/>
      <c r="X27" s="8"/>
      <c r="Y27" s="8"/>
      <c r="Z27" s="8"/>
      <c r="AA27" s="18"/>
      <c r="AB27" s="19"/>
    </row>
    <row r="28" spans="2:36" x14ac:dyDescent="0.3"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8"/>
      <c r="V28" s="8"/>
      <c r="W28" s="8"/>
      <c r="X28" s="8"/>
      <c r="Y28" s="8"/>
      <c r="Z28" s="8"/>
      <c r="AA28" s="18"/>
      <c r="AB28" s="19"/>
    </row>
    <row r="29" spans="2:36" x14ac:dyDescent="0.3"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8"/>
      <c r="V29" s="8"/>
      <c r="W29" s="8"/>
      <c r="X29" s="8"/>
      <c r="Y29" s="8"/>
      <c r="Z29" s="8"/>
      <c r="AA29" s="18"/>
      <c r="AB29" s="19"/>
    </row>
    <row r="30" spans="2:36" x14ac:dyDescent="0.3"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8"/>
      <c r="V30" s="8"/>
      <c r="W30" s="8"/>
      <c r="X30" s="8"/>
      <c r="Y30" s="8"/>
      <c r="Z30" s="8"/>
      <c r="AA30" s="18"/>
      <c r="AB30" s="19"/>
    </row>
    <row r="31" spans="2:36" x14ac:dyDescent="0.3"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8"/>
      <c r="V31" s="8"/>
      <c r="W31" s="8"/>
      <c r="X31" s="8"/>
      <c r="Y31" s="8"/>
      <c r="Z31" s="8"/>
      <c r="AA31" s="18"/>
      <c r="AB31" s="19"/>
    </row>
    <row r="32" spans="2:36" x14ac:dyDescent="0.3"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8"/>
      <c r="V32" s="8"/>
      <c r="W32" s="8"/>
      <c r="X32" s="8"/>
      <c r="Y32" s="8"/>
      <c r="Z32" s="8"/>
      <c r="AA32" s="18"/>
      <c r="AB32" s="19"/>
    </row>
    <row r="33" spans="5:28" x14ac:dyDescent="0.3"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8"/>
      <c r="V33" s="8"/>
      <c r="W33" s="8"/>
      <c r="X33" s="8"/>
      <c r="Y33" s="8"/>
      <c r="Z33" s="8"/>
      <c r="AA33" s="18"/>
      <c r="AB33" s="19"/>
    </row>
    <row r="34" spans="5:28" x14ac:dyDescent="0.3"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8"/>
      <c r="V34" s="8"/>
      <c r="W34" s="8"/>
      <c r="X34" s="8"/>
      <c r="Y34" s="8"/>
      <c r="Z34" s="8"/>
      <c r="AA34" s="18"/>
      <c r="AB34" s="19"/>
    </row>
    <row r="35" spans="5:28" x14ac:dyDescent="0.3"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8"/>
      <c r="V35" s="8"/>
      <c r="W35" s="8"/>
      <c r="X35" s="8"/>
      <c r="Y35" s="8"/>
      <c r="Z35" s="8"/>
      <c r="AA35" s="18"/>
      <c r="AB35" s="19"/>
    </row>
    <row r="36" spans="5:28" x14ac:dyDescent="0.3"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8"/>
      <c r="V36" s="8"/>
      <c r="W36" s="8"/>
      <c r="X36" s="8"/>
      <c r="Y36" s="8"/>
      <c r="Z36" s="8"/>
      <c r="AA36" s="18"/>
      <c r="AB36" s="19"/>
    </row>
    <row r="37" spans="5:28" x14ac:dyDescent="0.3"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8"/>
      <c r="V37" s="8"/>
      <c r="W37" s="8"/>
      <c r="X37" s="8"/>
      <c r="Y37" s="8"/>
      <c r="Z37" s="8"/>
      <c r="AA37" s="18"/>
      <c r="AB37" s="19"/>
    </row>
    <row r="38" spans="5:28" x14ac:dyDescent="0.3"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8"/>
      <c r="V38" s="8"/>
      <c r="W38" s="8"/>
      <c r="X38" s="8"/>
      <c r="Y38" s="8"/>
      <c r="Z38" s="8"/>
      <c r="AA38" s="18"/>
      <c r="AB38" s="19"/>
    </row>
    <row r="39" spans="5:28" x14ac:dyDescent="0.3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8"/>
      <c r="V39" s="8"/>
      <c r="W39" s="8"/>
      <c r="X39" s="8"/>
      <c r="Y39" s="8"/>
      <c r="Z39" s="8"/>
      <c r="AA39" s="18"/>
      <c r="AB39" s="19"/>
    </row>
    <row r="40" spans="5:28" x14ac:dyDescent="0.3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8"/>
      <c r="V40" s="8"/>
      <c r="W40" s="8"/>
      <c r="X40" s="8"/>
      <c r="Y40" s="8"/>
      <c r="Z40" s="8"/>
      <c r="AA40" s="18"/>
      <c r="AB40" s="19"/>
    </row>
    <row r="41" spans="5:28" x14ac:dyDescent="0.3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8"/>
      <c r="V41" s="8"/>
      <c r="W41" s="8"/>
      <c r="X41" s="8"/>
      <c r="Y41" s="8"/>
      <c r="Z41" s="8"/>
      <c r="AA41" s="18"/>
      <c r="AB41" s="19"/>
    </row>
    <row r="42" spans="5:28" x14ac:dyDescent="0.3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8"/>
      <c r="V42" s="8"/>
      <c r="W42" s="8"/>
      <c r="X42" s="8"/>
      <c r="Y42" s="8"/>
      <c r="Z42" s="8"/>
      <c r="AA42" s="18"/>
      <c r="AB42" s="19"/>
    </row>
    <row r="43" spans="5:28" x14ac:dyDescent="0.3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8"/>
      <c r="V43" s="8"/>
      <c r="W43" s="8"/>
      <c r="X43" s="8"/>
      <c r="Y43" s="8"/>
      <c r="Z43" s="8"/>
      <c r="AA43" s="18"/>
      <c r="AB43" s="19"/>
    </row>
    <row r="44" spans="5:28" x14ac:dyDescent="0.3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8"/>
      <c r="V44" s="8"/>
      <c r="W44" s="8"/>
      <c r="X44" s="8"/>
      <c r="Y44" s="8"/>
      <c r="Z44" s="8"/>
      <c r="AA44" s="18"/>
      <c r="AB44" s="19"/>
    </row>
    <row r="45" spans="5:28" x14ac:dyDescent="0.3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8"/>
      <c r="V45" s="8"/>
      <c r="W45" s="8"/>
      <c r="X45" s="8"/>
      <c r="Y45" s="8"/>
      <c r="Z45" s="8"/>
      <c r="AA45" s="18"/>
      <c r="AB45" s="19"/>
    </row>
    <row r="46" spans="5:28" x14ac:dyDescent="0.3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8"/>
      <c r="V46" s="8"/>
      <c r="W46" s="8"/>
      <c r="X46" s="8"/>
      <c r="Y46" s="8"/>
      <c r="Z46" s="8"/>
      <c r="AA46" s="18"/>
      <c r="AB46" s="19"/>
    </row>
    <row r="47" spans="5:28" x14ac:dyDescent="0.3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8"/>
      <c r="V47" s="8"/>
      <c r="W47" s="8"/>
      <c r="X47" s="8"/>
      <c r="Y47" s="8"/>
      <c r="Z47" s="8"/>
      <c r="AA47" s="18"/>
      <c r="AB47" s="19"/>
    </row>
    <row r="48" spans="5:28" x14ac:dyDescent="0.3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8"/>
      <c r="V48" s="8"/>
      <c r="W48" s="8"/>
      <c r="X48" s="8"/>
      <c r="Y48" s="8"/>
      <c r="Z48" s="8"/>
      <c r="AA48" s="18"/>
      <c r="AB48" s="19"/>
    </row>
  </sheetData>
  <mergeCells count="19">
    <mergeCell ref="AE5:AJ5"/>
    <mergeCell ref="AE6:AF6"/>
    <mergeCell ref="AG6:AH6"/>
    <mergeCell ref="AI6:AJ6"/>
    <mergeCell ref="AA6:AB6"/>
    <mergeCell ref="L6:M6"/>
    <mergeCell ref="N6:O6"/>
    <mergeCell ref="K5:S5"/>
    <mergeCell ref="T5:AB5"/>
    <mergeCell ref="C5:J5"/>
    <mergeCell ref="C6:D6"/>
    <mergeCell ref="E6:F6"/>
    <mergeCell ref="G6:H6"/>
    <mergeCell ref="I6:J6"/>
    <mergeCell ref="P6:Q6"/>
    <mergeCell ref="R6:S6"/>
    <mergeCell ref="U6:V6"/>
    <mergeCell ref="W6:X6"/>
    <mergeCell ref="Y6:Z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36" zoomScale="80" zoomScaleNormal="80" workbookViewId="0">
      <selection activeCell="R66" sqref="R66"/>
    </sheetView>
  </sheetViews>
  <sheetFormatPr defaultRowHeight="14.4" x14ac:dyDescent="0.3"/>
  <cols>
    <col min="10" max="10" width="9.33203125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AH143"/>
  <sheetViews>
    <sheetView zoomScale="96" zoomScaleNormal="96" workbookViewId="0">
      <selection activeCell="C1" sqref="C1"/>
    </sheetView>
  </sheetViews>
  <sheetFormatPr defaultRowHeight="14.4" x14ac:dyDescent="0.3"/>
  <cols>
    <col min="1" max="1" width="10.88671875" customWidth="1"/>
    <col min="3" max="3" width="7.109375" customWidth="1"/>
    <col min="4" max="4" width="9.88671875" customWidth="1"/>
    <col min="5" max="5" width="10.33203125" customWidth="1"/>
    <col min="6" max="6" width="8.44140625" customWidth="1"/>
    <col min="7" max="7" width="9.6640625" customWidth="1"/>
    <col min="9" max="9" width="7.33203125" customWidth="1"/>
    <col min="11" max="11" width="8" customWidth="1"/>
  </cols>
  <sheetData>
    <row r="4" spans="1:14" ht="28.5" customHeight="1" x14ac:dyDescent="0.3">
      <c r="B4" s="6"/>
      <c r="C4" s="33" t="s">
        <v>86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x14ac:dyDescent="0.3">
      <c r="B5" s="6"/>
      <c r="C5" s="33" t="s">
        <v>55</v>
      </c>
      <c r="D5" s="33"/>
      <c r="E5" s="33"/>
      <c r="F5" s="33" t="s">
        <v>56</v>
      </c>
      <c r="G5" s="33"/>
      <c r="H5" s="33"/>
      <c r="I5" s="33" t="s">
        <v>57</v>
      </c>
      <c r="J5" s="33"/>
      <c r="K5" s="33"/>
      <c r="L5" s="33" t="s">
        <v>58</v>
      </c>
      <c r="M5" s="33"/>
      <c r="N5" s="33"/>
    </row>
    <row r="6" spans="1:14" ht="43.2" x14ac:dyDescent="0.3">
      <c r="A6" s="20" t="s">
        <v>84</v>
      </c>
      <c r="B6" s="1"/>
      <c r="C6" s="2" t="s">
        <v>112</v>
      </c>
      <c r="D6" s="2" t="s">
        <v>113</v>
      </c>
      <c r="E6" s="2" t="s">
        <v>114</v>
      </c>
      <c r="F6" s="2" t="s">
        <v>115</v>
      </c>
      <c r="G6" s="2" t="s">
        <v>116</v>
      </c>
      <c r="H6" s="2" t="s">
        <v>59</v>
      </c>
      <c r="I6" s="2" t="s">
        <v>117</v>
      </c>
      <c r="J6" s="2" t="s">
        <v>118</v>
      </c>
      <c r="K6" s="2" t="s">
        <v>60</v>
      </c>
      <c r="L6" s="2" t="s">
        <v>119</v>
      </c>
      <c r="M6" s="2" t="s">
        <v>120</v>
      </c>
      <c r="N6" s="2" t="s">
        <v>121</v>
      </c>
    </row>
    <row r="7" spans="1:14" ht="15.6" x14ac:dyDescent="0.3">
      <c r="B7" s="1" t="s">
        <v>5</v>
      </c>
      <c r="C7" s="1">
        <v>19.71</v>
      </c>
      <c r="D7" s="1">
        <v>36.028799999999997</v>
      </c>
      <c r="E7" s="1">
        <v>13.8429</v>
      </c>
      <c r="F7" s="21">
        <v>8.8899999999999988</v>
      </c>
      <c r="G7" s="21">
        <v>21.302100000000003</v>
      </c>
      <c r="H7" s="21">
        <v>14.930000000000001</v>
      </c>
      <c r="I7" s="1">
        <v>20.57</v>
      </c>
      <c r="J7" s="1">
        <v>36.783300000000018</v>
      </c>
      <c r="K7" s="1">
        <v>46.836500000000015</v>
      </c>
      <c r="L7" s="10">
        <f>(C7+F7+I7)/3</f>
        <v>16.39</v>
      </c>
      <c r="M7" s="10">
        <f>(D7+G7+J7)/3</f>
        <v>31.371400000000005</v>
      </c>
      <c r="N7" s="10">
        <f>(E7+H7+K7)/3</f>
        <v>25.203133333333341</v>
      </c>
    </row>
    <row r="8" spans="1:14" ht="15.6" x14ac:dyDescent="0.3">
      <c r="B8" s="1" t="s">
        <v>6</v>
      </c>
      <c r="C8" s="1">
        <v>27.7</v>
      </c>
      <c r="D8" s="1">
        <v>53.363500000000002</v>
      </c>
      <c r="E8" s="1">
        <v>87.5929</v>
      </c>
      <c r="F8" s="22">
        <v>19.600000000000001</v>
      </c>
      <c r="G8" s="22">
        <v>40.285899999999998</v>
      </c>
      <c r="H8" s="22">
        <v>43.622899999999994</v>
      </c>
      <c r="I8" s="24">
        <v>29.740000000000002</v>
      </c>
      <c r="J8" s="24">
        <v>21.327400000000001</v>
      </c>
      <c r="K8" s="24">
        <v>70.271800000000013</v>
      </c>
      <c r="L8" s="10">
        <f t="shared" ref="L8:L18" si="0">(C8+F8+I8)/3</f>
        <v>25.679999999999996</v>
      </c>
      <c r="M8" s="10">
        <f t="shared" ref="M8:M18" si="1">(D8+G8+J8)/3</f>
        <v>38.325600000000001</v>
      </c>
      <c r="N8" s="10">
        <f t="shared" ref="N8:N18" si="2">(E8+H8+K8)/3</f>
        <v>67.162533333333343</v>
      </c>
    </row>
    <row r="9" spans="1:14" ht="15.6" x14ac:dyDescent="0.3">
      <c r="B9" s="1" t="s">
        <v>51</v>
      </c>
      <c r="C9" s="1">
        <v>23.8</v>
      </c>
      <c r="D9" s="1">
        <v>44.471299999999999</v>
      </c>
      <c r="E9" s="1">
        <v>20.4468</v>
      </c>
      <c r="F9" s="21">
        <v>25.442</v>
      </c>
      <c r="G9" s="21">
        <v>30.095300000000002</v>
      </c>
      <c r="H9" s="23">
        <v>13.887900000000002</v>
      </c>
      <c r="I9" s="1">
        <v>28.080000000000002</v>
      </c>
      <c r="J9" s="1">
        <v>38.270899999999983</v>
      </c>
      <c r="K9" s="1">
        <v>81.419499999999971</v>
      </c>
      <c r="L9" s="10">
        <f t="shared" si="0"/>
        <v>25.774000000000001</v>
      </c>
      <c r="M9" s="10">
        <f t="shared" si="1"/>
        <v>37.61249999999999</v>
      </c>
      <c r="N9" s="10">
        <f t="shared" si="2"/>
        <v>38.584733333333325</v>
      </c>
    </row>
    <row r="10" spans="1:14" ht="15.6" x14ac:dyDescent="0.3">
      <c r="B10" s="1" t="s">
        <v>52</v>
      </c>
      <c r="C10" s="1">
        <v>17.899999999999999</v>
      </c>
      <c r="D10" s="1">
        <v>24.1691</v>
      </c>
      <c r="E10" s="1">
        <v>22.3614</v>
      </c>
      <c r="F10" s="22">
        <v>18.5</v>
      </c>
      <c r="G10" s="22">
        <v>24.170299999999997</v>
      </c>
      <c r="H10" s="22">
        <v>43.832800000000006</v>
      </c>
      <c r="I10" s="1">
        <v>22.7</v>
      </c>
      <c r="J10" s="1">
        <v>62.748299999999993</v>
      </c>
      <c r="K10" s="1">
        <v>64.79819999999998</v>
      </c>
      <c r="L10" s="10">
        <f t="shared" si="0"/>
        <v>19.7</v>
      </c>
      <c r="M10" s="10">
        <f t="shared" si="1"/>
        <v>37.02923333333333</v>
      </c>
      <c r="N10" s="10">
        <f t="shared" si="2"/>
        <v>43.664133333333325</v>
      </c>
    </row>
    <row r="11" spans="1:14" ht="15.6" x14ac:dyDescent="0.3">
      <c r="B11" s="1" t="s">
        <v>9</v>
      </c>
      <c r="C11" s="1">
        <v>19.329999999999998</v>
      </c>
      <c r="D11" s="1">
        <v>22.505199999999999</v>
      </c>
      <c r="E11" s="1">
        <v>36.866999999999997</v>
      </c>
      <c r="F11" s="21">
        <v>10.119999999999999</v>
      </c>
      <c r="G11" s="21">
        <v>16.329799999999999</v>
      </c>
      <c r="H11" s="21">
        <v>9.6566999999999972</v>
      </c>
      <c r="I11" s="24">
        <v>31.96</v>
      </c>
      <c r="J11" s="24">
        <v>0</v>
      </c>
      <c r="K11" s="24">
        <v>42.075499999999998</v>
      </c>
      <c r="L11" s="10">
        <f t="shared" si="0"/>
        <v>20.47</v>
      </c>
      <c r="M11" s="14">
        <f t="shared" si="1"/>
        <v>12.944999999999999</v>
      </c>
      <c r="N11" s="10">
        <f t="shared" si="2"/>
        <v>29.533066666666667</v>
      </c>
    </row>
    <row r="12" spans="1:14" ht="15.6" x14ac:dyDescent="0.3">
      <c r="B12" s="1" t="s">
        <v>53</v>
      </c>
      <c r="C12" s="1">
        <v>64.7</v>
      </c>
      <c r="D12" s="1">
        <v>34.551400000000001</v>
      </c>
      <c r="E12" s="1">
        <v>32.334000000000003</v>
      </c>
      <c r="F12" s="21">
        <v>81.760000000000005</v>
      </c>
      <c r="G12" s="23">
        <v>41.705699999999993</v>
      </c>
      <c r="H12" s="23">
        <v>19.850100000000001</v>
      </c>
      <c r="I12" s="25">
        <v>60.089999999999989</v>
      </c>
      <c r="J12" s="25">
        <v>76.820299999999989</v>
      </c>
      <c r="K12" s="25">
        <v>71.710999999999984</v>
      </c>
      <c r="L12" s="10">
        <f t="shared" si="0"/>
        <v>68.850000000000009</v>
      </c>
      <c r="M12" s="14">
        <f t="shared" si="1"/>
        <v>51.025799999999997</v>
      </c>
      <c r="N12" s="14">
        <f t="shared" si="2"/>
        <v>41.298366666666659</v>
      </c>
    </row>
    <row r="13" spans="1:14" ht="15.6" x14ac:dyDescent="0.3">
      <c r="B13" s="1" t="s">
        <v>54</v>
      </c>
      <c r="C13" s="1">
        <v>218.46</v>
      </c>
      <c r="D13" s="1">
        <v>209.70400000000001</v>
      </c>
      <c r="E13" s="1">
        <v>191.35300000000001</v>
      </c>
      <c r="F13" s="22">
        <v>72.620000000000033</v>
      </c>
      <c r="G13" s="22">
        <v>110.0633</v>
      </c>
      <c r="H13" s="22">
        <v>52.88630000000002</v>
      </c>
      <c r="I13" s="13">
        <v>152.70999999999998</v>
      </c>
      <c r="J13" s="13">
        <v>172.27359999999999</v>
      </c>
      <c r="K13" s="13">
        <v>160.4836</v>
      </c>
      <c r="L13" s="10">
        <f t="shared" si="0"/>
        <v>147.93</v>
      </c>
      <c r="M13" s="10">
        <f t="shared" si="1"/>
        <v>164.01363333333333</v>
      </c>
      <c r="N13" s="10">
        <f t="shared" si="2"/>
        <v>134.90763333333334</v>
      </c>
    </row>
    <row r="14" spans="1:14" ht="15.6" x14ac:dyDescent="0.3">
      <c r="B14" s="1" t="s">
        <v>12</v>
      </c>
      <c r="C14" s="1">
        <v>196</v>
      </c>
      <c r="D14" s="1">
        <v>225.411</v>
      </c>
      <c r="E14" s="1">
        <v>191.261</v>
      </c>
      <c r="F14" s="21">
        <v>75.810000000000016</v>
      </c>
      <c r="G14" s="23">
        <v>16.442799999999998</v>
      </c>
      <c r="H14" s="21">
        <v>76.379499999999993</v>
      </c>
      <c r="I14" s="13">
        <v>88.669999999999973</v>
      </c>
      <c r="J14" s="13">
        <v>243.48610000000008</v>
      </c>
      <c r="K14" s="13">
        <v>56.97529999999999</v>
      </c>
      <c r="L14" s="10">
        <f t="shared" si="0"/>
        <v>120.15999999999998</v>
      </c>
      <c r="M14" s="10">
        <f t="shared" si="1"/>
        <v>161.7799666666667</v>
      </c>
      <c r="N14" s="10">
        <f t="shared" si="2"/>
        <v>108.20526666666666</v>
      </c>
    </row>
    <row r="15" spans="1:14" ht="15.6" x14ac:dyDescent="0.3">
      <c r="B15" s="1" t="s">
        <v>13</v>
      </c>
      <c r="C15" s="1">
        <v>44.59</v>
      </c>
      <c r="D15" s="1">
        <v>115.245</v>
      </c>
      <c r="E15" s="1">
        <v>91.234800000000007</v>
      </c>
      <c r="F15" s="21">
        <v>43.11999999999999</v>
      </c>
      <c r="G15" s="21">
        <v>56.429700000000011</v>
      </c>
      <c r="H15" s="21">
        <v>34.368599999999994</v>
      </c>
      <c r="I15" s="25">
        <v>43.95</v>
      </c>
      <c r="J15" s="25">
        <v>5.7767999999999997</v>
      </c>
      <c r="K15" s="25">
        <v>0</v>
      </c>
      <c r="L15" s="10">
        <f t="shared" si="0"/>
        <v>43.886666666666663</v>
      </c>
      <c r="M15" s="10">
        <f t="shared" si="1"/>
        <v>59.150500000000015</v>
      </c>
      <c r="N15" s="10">
        <f t="shared" si="2"/>
        <v>41.867799999999995</v>
      </c>
    </row>
    <row r="16" spans="1:14" ht="15.6" x14ac:dyDescent="0.3">
      <c r="B16" s="1" t="s">
        <v>14</v>
      </c>
      <c r="C16" s="1">
        <v>16.82</v>
      </c>
      <c r="D16" s="1">
        <v>13.686199999999999</v>
      </c>
      <c r="E16" s="1">
        <v>12.420999999999999</v>
      </c>
      <c r="F16" s="21">
        <v>8.620000000000001</v>
      </c>
      <c r="G16" s="23">
        <v>0.3206</v>
      </c>
      <c r="H16" s="21">
        <v>4.7638000000000007</v>
      </c>
      <c r="I16" s="1">
        <v>7.05</v>
      </c>
      <c r="J16" s="1">
        <v>6.1181999999999999</v>
      </c>
      <c r="K16" s="1">
        <v>0</v>
      </c>
      <c r="L16" s="10">
        <f t="shared" si="0"/>
        <v>10.83</v>
      </c>
      <c r="M16" s="14">
        <f t="shared" si="1"/>
        <v>6.708333333333333</v>
      </c>
      <c r="N16" s="14">
        <f t="shared" si="2"/>
        <v>5.7282666666666664</v>
      </c>
    </row>
    <row r="17" spans="2:14" ht="15.6" x14ac:dyDescent="0.3">
      <c r="B17" s="1" t="s">
        <v>15</v>
      </c>
      <c r="C17" s="1">
        <v>9.92</v>
      </c>
      <c r="D17" s="1">
        <v>8.7556999999999992</v>
      </c>
      <c r="E17" s="1">
        <v>15.390499999999999</v>
      </c>
      <c r="F17" s="21">
        <v>3</v>
      </c>
      <c r="G17" s="21">
        <v>2.2894999999999999</v>
      </c>
      <c r="H17" s="23">
        <v>0.62780000000000002</v>
      </c>
      <c r="I17" s="1">
        <v>4.6500000000000004</v>
      </c>
      <c r="J17" s="1">
        <v>5.9873999999999992</v>
      </c>
      <c r="K17" s="1">
        <v>41.606200000000001</v>
      </c>
      <c r="L17" s="10">
        <f t="shared" si="0"/>
        <v>5.8566666666666665</v>
      </c>
      <c r="M17" s="10">
        <f t="shared" si="1"/>
        <v>5.6775333333333329</v>
      </c>
      <c r="N17" s="10">
        <f t="shared" si="2"/>
        <v>19.208166666666667</v>
      </c>
    </row>
    <row r="18" spans="2:14" ht="15.6" x14ac:dyDescent="0.3">
      <c r="B18" s="1" t="s">
        <v>16</v>
      </c>
      <c r="C18" s="1">
        <v>3.37</v>
      </c>
      <c r="D18" s="1">
        <v>12.839</v>
      </c>
      <c r="E18" s="1">
        <v>16.5764</v>
      </c>
      <c r="F18" s="21">
        <v>2.37</v>
      </c>
      <c r="G18" s="21">
        <v>21.762</v>
      </c>
      <c r="H18" s="21">
        <v>13.072399999999998</v>
      </c>
      <c r="I18" s="25">
        <v>18.900000000000002</v>
      </c>
      <c r="J18" s="25">
        <v>9.4460000000000015</v>
      </c>
      <c r="K18" s="25">
        <v>31.4404</v>
      </c>
      <c r="L18" s="10">
        <f t="shared" si="0"/>
        <v>8.2133333333333329</v>
      </c>
      <c r="M18" s="10">
        <f t="shared" si="1"/>
        <v>14.682333333333332</v>
      </c>
      <c r="N18" s="10">
        <f t="shared" si="2"/>
        <v>20.363066666666665</v>
      </c>
    </row>
    <row r="46" spans="2:14" ht="23.25" customHeight="1" x14ac:dyDescent="0.3">
      <c r="B46" s="6"/>
      <c r="C46" s="32" t="s">
        <v>87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1"/>
    </row>
    <row r="47" spans="2:14" x14ac:dyDescent="0.3">
      <c r="B47" s="6"/>
      <c r="C47" s="32" t="s">
        <v>55</v>
      </c>
      <c r="D47" s="30"/>
      <c r="E47" s="31"/>
      <c r="F47" s="32" t="s">
        <v>56</v>
      </c>
      <c r="G47" s="30"/>
      <c r="H47" s="31"/>
      <c r="I47" s="32" t="s">
        <v>57</v>
      </c>
      <c r="J47" s="30"/>
      <c r="K47" s="31"/>
      <c r="L47" s="32" t="s">
        <v>58</v>
      </c>
      <c r="M47" s="30"/>
      <c r="N47" s="31"/>
    </row>
    <row r="48" spans="2:14" ht="57.6" x14ac:dyDescent="0.3">
      <c r="B48" s="1"/>
      <c r="C48" s="2" t="s">
        <v>122</v>
      </c>
      <c r="D48" s="2" t="s">
        <v>123</v>
      </c>
      <c r="E48" s="2" t="s">
        <v>124</v>
      </c>
      <c r="F48" s="2" t="s">
        <v>125</v>
      </c>
      <c r="G48" s="2" t="s">
        <v>126</v>
      </c>
      <c r="H48" s="2" t="s">
        <v>64</v>
      </c>
      <c r="I48" s="2" t="s">
        <v>127</v>
      </c>
      <c r="J48" s="2" t="s">
        <v>128</v>
      </c>
      <c r="K48" s="2" t="s">
        <v>66</v>
      </c>
      <c r="L48" s="2" t="s">
        <v>129</v>
      </c>
      <c r="M48" s="2" t="s">
        <v>130</v>
      </c>
      <c r="N48" s="2" t="s">
        <v>131</v>
      </c>
    </row>
    <row r="49" spans="2:14" ht="15.6" x14ac:dyDescent="0.3">
      <c r="B49" s="1" t="s">
        <v>5</v>
      </c>
      <c r="C49" s="12">
        <v>18.142900000000001</v>
      </c>
      <c r="D49" s="12">
        <v>20.301206935483865</v>
      </c>
      <c r="E49" s="12">
        <v>20.096513709677421</v>
      </c>
      <c r="F49" s="26">
        <v>18.230967741935462</v>
      </c>
      <c r="G49" s="26">
        <v>19.536076129032264</v>
      </c>
      <c r="H49" s="26">
        <v>19.528945322580633</v>
      </c>
      <c r="I49" s="26">
        <v>19.691397849462362</v>
      </c>
      <c r="J49" s="26">
        <v>17.723372580645158</v>
      </c>
      <c r="K49" s="26">
        <v>19.368319354838714</v>
      </c>
      <c r="L49" s="10">
        <f>(C49+F49+I49)/3</f>
        <v>18.688421863799274</v>
      </c>
      <c r="M49" s="10">
        <f>(D49+G49+J49)/3</f>
        <v>19.186885215053763</v>
      </c>
      <c r="N49" s="10">
        <f>(E49+H49+K49)/3</f>
        <v>19.664592795698923</v>
      </c>
    </row>
    <row r="50" spans="2:14" ht="15.6" x14ac:dyDescent="0.3">
      <c r="B50" s="1" t="s">
        <v>6</v>
      </c>
      <c r="C50" s="9">
        <v>22.128599999999999</v>
      </c>
      <c r="D50" s="9">
        <v>22.738810070671395</v>
      </c>
      <c r="E50" s="9">
        <v>22.95619628975264</v>
      </c>
      <c r="F50" s="26">
        <v>22.104240282685513</v>
      </c>
      <c r="G50" s="26">
        <v>22.328670318021196</v>
      </c>
      <c r="H50" s="26">
        <v>22.286457950530032</v>
      </c>
      <c r="I50" s="26">
        <v>23.641666666666662</v>
      </c>
      <c r="J50" s="26">
        <v>21.605060714285706</v>
      </c>
      <c r="K50" s="26">
        <v>21.879146428571431</v>
      </c>
      <c r="L50" s="10">
        <f t="shared" ref="L50:L60" si="3">(C50+F50+I50)/3</f>
        <v>22.62483564978406</v>
      </c>
      <c r="M50" s="14">
        <f t="shared" ref="M50:M60" si="4">(D50+G50+J50)/3</f>
        <v>22.224180367659432</v>
      </c>
      <c r="N50" s="14">
        <f t="shared" ref="N50:N60" si="5">(E50+H50+K50)/3</f>
        <v>22.373933556284701</v>
      </c>
    </row>
    <row r="51" spans="2:14" ht="15.6" x14ac:dyDescent="0.3">
      <c r="B51" s="1" t="s">
        <v>51</v>
      </c>
      <c r="C51" s="9">
        <v>27.6829</v>
      </c>
      <c r="D51" s="9">
        <v>26.95014064516127</v>
      </c>
      <c r="E51" s="9">
        <v>26.808556935483871</v>
      </c>
      <c r="F51" s="26">
        <v>27.755161290322576</v>
      </c>
      <c r="G51" s="26">
        <v>26.301891774193546</v>
      </c>
      <c r="H51" s="26">
        <v>26.354094677419351</v>
      </c>
      <c r="I51" s="26">
        <v>28.526881720430104</v>
      </c>
      <c r="J51" s="26">
        <v>28.205601075268817</v>
      </c>
      <c r="K51" s="26">
        <v>27.273317741935497</v>
      </c>
      <c r="L51" s="10">
        <f t="shared" si="3"/>
        <v>27.988314336917558</v>
      </c>
      <c r="M51" s="14">
        <f t="shared" si="4"/>
        <v>27.152544498207877</v>
      </c>
      <c r="N51" s="14">
        <f t="shared" si="5"/>
        <v>26.811989784946238</v>
      </c>
    </row>
    <row r="52" spans="2:14" ht="15.6" x14ac:dyDescent="0.3">
      <c r="B52" s="1" t="s">
        <v>52</v>
      </c>
      <c r="C52" s="12">
        <v>34.832000000000001</v>
      </c>
      <c r="D52" s="12">
        <v>33.27971749999999</v>
      </c>
      <c r="E52" s="12">
        <v>33.149544333333345</v>
      </c>
      <c r="F52" s="26">
        <v>35.155000000000008</v>
      </c>
      <c r="G52" s="26">
        <v>32.360205499999999</v>
      </c>
      <c r="H52" s="26">
        <v>32.390475166666647</v>
      </c>
      <c r="I52" s="26">
        <v>35.149999999999991</v>
      </c>
      <c r="J52" s="26">
        <v>35.018463888888888</v>
      </c>
      <c r="K52" s="26">
        <v>32.943641111111134</v>
      </c>
      <c r="L52" s="10">
        <f t="shared" si="3"/>
        <v>35.045666666666669</v>
      </c>
      <c r="M52" s="14">
        <f t="shared" si="4"/>
        <v>33.552795629629621</v>
      </c>
      <c r="N52" s="14">
        <f t="shared" si="5"/>
        <v>32.827886870370378</v>
      </c>
    </row>
    <row r="53" spans="2:14" ht="15.6" x14ac:dyDescent="0.3">
      <c r="B53" s="1" t="s">
        <v>9</v>
      </c>
      <c r="C53" s="9">
        <v>38.79</v>
      </c>
      <c r="D53" s="9">
        <v>39.337359516129062</v>
      </c>
      <c r="E53" s="9">
        <v>39.480089354838704</v>
      </c>
      <c r="F53" s="26">
        <v>39.424193548387109</v>
      </c>
      <c r="G53" s="26">
        <v>39.676365322580629</v>
      </c>
      <c r="H53" s="26">
        <v>39.589246451612901</v>
      </c>
      <c r="I53" s="26">
        <v>38.939784946236557</v>
      </c>
      <c r="J53" s="26">
        <v>39.786527419354826</v>
      </c>
      <c r="K53" s="26">
        <v>39.991992473118266</v>
      </c>
      <c r="L53" s="10">
        <f t="shared" si="3"/>
        <v>39.051326164874553</v>
      </c>
      <c r="M53" s="10">
        <f t="shared" si="4"/>
        <v>39.600084086021504</v>
      </c>
      <c r="N53" s="10">
        <f t="shared" si="5"/>
        <v>39.687109426523286</v>
      </c>
    </row>
    <row r="54" spans="2:14" ht="15.6" x14ac:dyDescent="0.3">
      <c r="B54" s="1" t="s">
        <v>53</v>
      </c>
      <c r="C54" s="12">
        <v>38.161700000000003</v>
      </c>
      <c r="D54" s="12">
        <v>41.323451833333337</v>
      </c>
      <c r="E54" s="12">
        <v>41.090337499999997</v>
      </c>
      <c r="F54" s="26">
        <v>39.597666666666669</v>
      </c>
      <c r="G54" s="26">
        <v>41.429400000000001</v>
      </c>
      <c r="H54" s="26">
        <v>41.521354166666697</v>
      </c>
      <c r="I54" s="26">
        <v>40.111111111111107</v>
      </c>
      <c r="J54" s="26">
        <v>41.965032222222227</v>
      </c>
      <c r="K54" s="26">
        <v>41.107677777777788</v>
      </c>
      <c r="L54" s="10">
        <f t="shared" si="3"/>
        <v>39.290159259259262</v>
      </c>
      <c r="M54" s="10">
        <f t="shared" si="4"/>
        <v>41.572628018518522</v>
      </c>
      <c r="N54" s="10">
        <f t="shared" si="5"/>
        <v>41.239789814814827</v>
      </c>
    </row>
    <row r="55" spans="2:14" ht="15.6" x14ac:dyDescent="0.3">
      <c r="B55" s="1" t="s">
        <v>54</v>
      </c>
      <c r="C55" s="9">
        <v>35.413899999999998</v>
      </c>
      <c r="D55" s="9">
        <v>36.046966290322565</v>
      </c>
      <c r="E55" s="9">
        <v>36.10730661290323</v>
      </c>
      <c r="F55" s="26">
        <v>37.498387096774209</v>
      </c>
      <c r="G55" s="26">
        <v>37.385270806451608</v>
      </c>
      <c r="H55" s="26">
        <v>37.295053709677404</v>
      </c>
      <c r="I55" s="26">
        <v>36.777419354838706</v>
      </c>
      <c r="J55" s="26">
        <v>37.459442473118294</v>
      </c>
      <c r="K55" s="26">
        <v>36.596673655913989</v>
      </c>
      <c r="L55" s="10">
        <f t="shared" si="3"/>
        <v>36.563235483870976</v>
      </c>
      <c r="M55" s="10">
        <f t="shared" si="4"/>
        <v>36.963893189964153</v>
      </c>
      <c r="N55" s="10">
        <f t="shared" si="5"/>
        <v>36.666344659498208</v>
      </c>
    </row>
    <row r="56" spans="2:14" ht="15.6" x14ac:dyDescent="0.3">
      <c r="B56" s="1" t="s">
        <v>12</v>
      </c>
      <c r="C56" s="9">
        <v>34.748100000000001</v>
      </c>
      <c r="D56" s="9">
        <v>35.127331451612903</v>
      </c>
      <c r="E56" s="9">
        <v>35.644198225806434</v>
      </c>
      <c r="F56" s="26">
        <v>36.734838709677426</v>
      </c>
      <c r="G56" s="26">
        <v>36.720998548387101</v>
      </c>
      <c r="H56" s="26">
        <v>36.716080967741938</v>
      </c>
      <c r="I56" s="26">
        <v>36.931182795698923</v>
      </c>
      <c r="J56" s="26">
        <v>36.339161827956993</v>
      </c>
      <c r="K56" s="26">
        <v>35.720795161290333</v>
      </c>
      <c r="L56" s="10">
        <f t="shared" si="3"/>
        <v>36.138040501792119</v>
      </c>
      <c r="M56" s="14">
        <f t="shared" si="4"/>
        <v>36.062497275985663</v>
      </c>
      <c r="N56" s="14">
        <f t="shared" si="5"/>
        <v>36.027024784946235</v>
      </c>
    </row>
    <row r="57" spans="2:14" ht="15.6" x14ac:dyDescent="0.3">
      <c r="B57" s="1" t="s">
        <v>13</v>
      </c>
      <c r="C57" s="9">
        <v>34.521999999999998</v>
      </c>
      <c r="D57" s="9">
        <v>34.666449</v>
      </c>
      <c r="E57" s="9">
        <v>34.924275833333326</v>
      </c>
      <c r="F57" s="26">
        <v>35.751666666666665</v>
      </c>
      <c r="G57" s="26">
        <v>35.762554333333362</v>
      </c>
      <c r="H57" s="26">
        <v>35.703713000000022</v>
      </c>
      <c r="I57" s="26">
        <v>36.323333333333338</v>
      </c>
      <c r="J57" s="26">
        <v>35.307572222222213</v>
      </c>
      <c r="K57" s="26">
        <v>35.283180555555546</v>
      </c>
      <c r="L57" s="10">
        <f t="shared" si="3"/>
        <v>35.532333333333334</v>
      </c>
      <c r="M57" s="14">
        <f t="shared" si="4"/>
        <v>35.245525185185187</v>
      </c>
      <c r="N57" s="14">
        <f t="shared" si="5"/>
        <v>35.303723129629631</v>
      </c>
    </row>
    <row r="58" spans="2:14" ht="15.6" x14ac:dyDescent="0.3">
      <c r="B58" s="1" t="s">
        <v>14</v>
      </c>
      <c r="C58" s="9">
        <v>31.817699999999999</v>
      </c>
      <c r="D58" s="9">
        <v>31.278957258064523</v>
      </c>
      <c r="E58" s="9">
        <v>33.374312258064499</v>
      </c>
      <c r="F58" s="26">
        <v>32.709354838709665</v>
      </c>
      <c r="G58" s="26">
        <v>32.58263677419356</v>
      </c>
      <c r="H58" s="26">
        <v>32.589766612903212</v>
      </c>
      <c r="I58" s="26">
        <v>33.081720430107517</v>
      </c>
      <c r="J58" s="26">
        <v>31.674990322580648</v>
      </c>
      <c r="K58" s="26">
        <v>33.74814139784948</v>
      </c>
      <c r="L58" s="10">
        <f t="shared" si="3"/>
        <v>32.536258422939056</v>
      </c>
      <c r="M58" s="10">
        <f t="shared" si="4"/>
        <v>31.845528118279578</v>
      </c>
      <c r="N58" s="10">
        <f t="shared" si="5"/>
        <v>33.237406756272399</v>
      </c>
    </row>
    <row r="59" spans="2:14" ht="15.6" x14ac:dyDescent="0.3">
      <c r="B59" s="1" t="s">
        <v>15</v>
      </c>
      <c r="C59" s="9">
        <v>27.224699999999999</v>
      </c>
      <c r="D59" s="9">
        <v>27.579805666666658</v>
      </c>
      <c r="E59" s="9">
        <v>28.593778166666642</v>
      </c>
      <c r="F59" s="26">
        <v>27.419333333333331</v>
      </c>
      <c r="G59" s="26">
        <v>27.677763833333337</v>
      </c>
      <c r="H59" s="26">
        <v>27.651858166666649</v>
      </c>
      <c r="I59" s="26">
        <v>25.795555555555556</v>
      </c>
      <c r="J59" s="26">
        <v>27.19320500000001</v>
      </c>
      <c r="K59" s="26">
        <v>27.947788333333353</v>
      </c>
      <c r="L59" s="10">
        <f t="shared" si="3"/>
        <v>26.813196296296294</v>
      </c>
      <c r="M59" s="10">
        <f t="shared" si="4"/>
        <v>27.483591500000003</v>
      </c>
      <c r="N59" s="10">
        <f t="shared" si="5"/>
        <v>28.064474888888881</v>
      </c>
    </row>
    <row r="60" spans="2:14" ht="15.6" x14ac:dyDescent="0.3">
      <c r="B60" s="1" t="s">
        <v>16</v>
      </c>
      <c r="C60" s="9">
        <v>21.564800000000002</v>
      </c>
      <c r="D60" s="9">
        <v>22.589782943143803</v>
      </c>
      <c r="E60" s="9">
        <v>22.541041304347821</v>
      </c>
      <c r="F60" s="26">
        <v>21.780645161290312</v>
      </c>
      <c r="G60" s="26">
        <v>22.059992096774184</v>
      </c>
      <c r="H60" s="26">
        <v>22.029813043478239</v>
      </c>
      <c r="I60" s="26">
        <v>20.819354838709668</v>
      </c>
      <c r="J60" s="26">
        <v>22.371755376344094</v>
      </c>
      <c r="K60" s="26">
        <v>22.497391397849462</v>
      </c>
      <c r="L60" s="10">
        <f t="shared" si="3"/>
        <v>21.388266666666663</v>
      </c>
      <c r="M60" s="10">
        <f t="shared" si="4"/>
        <v>22.340510138754027</v>
      </c>
      <c r="N60" s="10">
        <f t="shared" si="5"/>
        <v>22.356081915225172</v>
      </c>
    </row>
    <row r="86" spans="2:14" x14ac:dyDescent="0.3">
      <c r="B86" s="6"/>
      <c r="C86" s="32" t="s">
        <v>88</v>
      </c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1"/>
    </row>
    <row r="87" spans="2:14" x14ac:dyDescent="0.3">
      <c r="B87" s="6"/>
      <c r="C87" s="32" t="s">
        <v>55</v>
      </c>
      <c r="D87" s="30"/>
      <c r="E87" s="31"/>
      <c r="F87" s="32" t="s">
        <v>56</v>
      </c>
      <c r="G87" s="30"/>
      <c r="H87" s="31"/>
      <c r="I87" s="32" t="s">
        <v>57</v>
      </c>
      <c r="J87" s="30"/>
      <c r="K87" s="31"/>
      <c r="L87" s="32" t="s">
        <v>58</v>
      </c>
      <c r="M87" s="30"/>
      <c r="N87" s="31"/>
    </row>
    <row r="88" spans="2:14" ht="43.2" x14ac:dyDescent="0.3">
      <c r="B88" s="1"/>
      <c r="C88" s="2" t="s">
        <v>132</v>
      </c>
      <c r="D88" s="2" t="s">
        <v>133</v>
      </c>
      <c r="E88" s="2" t="s">
        <v>134</v>
      </c>
      <c r="F88" s="2" t="s">
        <v>135</v>
      </c>
      <c r="G88" s="2" t="s">
        <v>136</v>
      </c>
      <c r="H88" s="2" t="s">
        <v>72</v>
      </c>
      <c r="I88" s="2" t="s">
        <v>137</v>
      </c>
      <c r="J88" s="2" t="s">
        <v>138</v>
      </c>
      <c r="K88" s="2" t="s">
        <v>74</v>
      </c>
      <c r="L88" s="2" t="s">
        <v>139</v>
      </c>
      <c r="M88" s="2" t="s">
        <v>140</v>
      </c>
      <c r="N88" s="2" t="s">
        <v>141</v>
      </c>
    </row>
    <row r="89" spans="2:14" x14ac:dyDescent="0.3">
      <c r="B89" s="1" t="s">
        <v>5</v>
      </c>
      <c r="C89" s="27">
        <v>7.7854799999999997</v>
      </c>
      <c r="D89" s="27">
        <v>7.2674500000000002</v>
      </c>
      <c r="E89" s="27">
        <v>8.0577699999999997</v>
      </c>
      <c r="F89" s="27">
        <v>4.96</v>
      </c>
      <c r="G89" s="27">
        <v>4.9322900000000001</v>
      </c>
      <c r="H89" s="27">
        <v>5.9475199999999999</v>
      </c>
      <c r="I89" s="27">
        <v>7.7854799999999997</v>
      </c>
      <c r="J89" s="27">
        <v>7.2674500000000002</v>
      </c>
      <c r="K89" s="27">
        <v>8.0577699999999997</v>
      </c>
      <c r="L89" s="27">
        <f>(C89+F89+I89)/3</f>
        <v>6.8436533333333331</v>
      </c>
      <c r="M89" s="27">
        <f>(D89+G89+J89)/3</f>
        <v>6.4890633333333341</v>
      </c>
      <c r="N89" s="27">
        <f>(E89+H89+K89)/3</f>
        <v>7.3543533333333331</v>
      </c>
    </row>
    <row r="90" spans="2:14" x14ac:dyDescent="0.3">
      <c r="B90" s="1" t="s">
        <v>6</v>
      </c>
      <c r="C90" s="27">
        <v>10.992599999999999</v>
      </c>
      <c r="D90" s="27">
        <v>9.9807100000000002</v>
      </c>
      <c r="E90" s="27">
        <v>9.9557500000000001</v>
      </c>
      <c r="F90" s="27">
        <v>7.51661</v>
      </c>
      <c r="G90" s="27">
        <v>7.5721699999999998</v>
      </c>
      <c r="H90" s="27">
        <v>7.3773200000000001</v>
      </c>
      <c r="I90" s="27">
        <v>10.992599999999999</v>
      </c>
      <c r="J90" s="27">
        <v>9.9807100000000002</v>
      </c>
      <c r="K90" s="27">
        <v>9.9557500000000001</v>
      </c>
      <c r="L90" s="27">
        <f t="shared" ref="L90:L100" si="6">(C90+F90+I90)/3</f>
        <v>9.8339366666666663</v>
      </c>
      <c r="M90" s="27">
        <f t="shared" ref="M90:M100" si="7">(D90+G90+J90)/3</f>
        <v>9.1778633333333346</v>
      </c>
      <c r="N90" s="27">
        <f t="shared" ref="N90:N100" si="8">(E90+H90+K90)/3</f>
        <v>9.0962733333333343</v>
      </c>
    </row>
    <row r="91" spans="2:14" x14ac:dyDescent="0.3">
      <c r="B91" s="1" t="s">
        <v>51</v>
      </c>
      <c r="C91" s="27">
        <v>16.088100000000001</v>
      </c>
      <c r="D91" s="27">
        <v>14.4192</v>
      </c>
      <c r="E91" s="27">
        <v>13.7742</v>
      </c>
      <c r="F91" s="27">
        <v>13.197699999999999</v>
      </c>
      <c r="G91" s="27">
        <v>12.408099999999999</v>
      </c>
      <c r="H91" s="27">
        <v>11.885199999999999</v>
      </c>
      <c r="I91" s="27">
        <v>16.088100000000001</v>
      </c>
      <c r="J91" s="27">
        <v>14.4192</v>
      </c>
      <c r="K91" s="27">
        <v>13.7742</v>
      </c>
      <c r="L91" s="27">
        <f t="shared" si="6"/>
        <v>15.124633333333335</v>
      </c>
      <c r="M91" s="27">
        <f t="shared" si="7"/>
        <v>13.748833333333332</v>
      </c>
      <c r="N91" s="27">
        <f t="shared" si="8"/>
        <v>13.144533333333333</v>
      </c>
    </row>
    <row r="92" spans="2:14" x14ac:dyDescent="0.3">
      <c r="B92" s="1" t="s">
        <v>52</v>
      </c>
      <c r="C92" s="27">
        <v>21.712700000000002</v>
      </c>
      <c r="D92" s="27">
        <v>19.478999999999999</v>
      </c>
      <c r="E92" s="27">
        <v>19.050999999999998</v>
      </c>
      <c r="F92" s="27">
        <v>19.0123</v>
      </c>
      <c r="G92" s="27">
        <v>17.5793</v>
      </c>
      <c r="H92" s="27">
        <v>17.122800000000002</v>
      </c>
      <c r="I92" s="27">
        <v>21.712700000000002</v>
      </c>
      <c r="J92" s="27">
        <v>19.478999999999999</v>
      </c>
      <c r="K92" s="27">
        <v>19.050999999999998</v>
      </c>
      <c r="L92" s="27">
        <f t="shared" si="6"/>
        <v>20.812566666666669</v>
      </c>
      <c r="M92" s="27">
        <f t="shared" si="7"/>
        <v>18.845766666666666</v>
      </c>
      <c r="N92" s="27">
        <f t="shared" si="8"/>
        <v>18.408266666666666</v>
      </c>
    </row>
    <row r="93" spans="2:14" x14ac:dyDescent="0.3">
      <c r="B93" s="1" t="s">
        <v>9</v>
      </c>
      <c r="C93" s="27">
        <v>25.798100000000002</v>
      </c>
      <c r="D93" s="27">
        <v>24.352399999999999</v>
      </c>
      <c r="E93" s="27">
        <v>24.962800000000001</v>
      </c>
      <c r="F93" s="27">
        <v>23.971</v>
      </c>
      <c r="G93" s="27">
        <v>23.350100000000001</v>
      </c>
      <c r="H93" s="27">
        <v>22.973700000000001</v>
      </c>
      <c r="I93" s="27">
        <v>25.798100000000002</v>
      </c>
      <c r="J93" s="27">
        <v>24.352399999999999</v>
      </c>
      <c r="K93" s="27">
        <v>24.962800000000001</v>
      </c>
      <c r="L93" s="27">
        <f t="shared" si="6"/>
        <v>25.189066666666665</v>
      </c>
      <c r="M93" s="27">
        <f t="shared" si="7"/>
        <v>24.0183</v>
      </c>
      <c r="N93" s="27">
        <f t="shared" si="8"/>
        <v>24.29976666666667</v>
      </c>
    </row>
    <row r="94" spans="2:14" x14ac:dyDescent="0.3">
      <c r="B94" s="1" t="s">
        <v>53</v>
      </c>
      <c r="C94" s="27">
        <v>27.521699999999999</v>
      </c>
      <c r="D94" s="27">
        <v>27.4069</v>
      </c>
      <c r="E94" s="27">
        <v>27.419499999999999</v>
      </c>
      <c r="F94" s="27">
        <v>26.838699999999999</v>
      </c>
      <c r="G94" s="27">
        <v>26.762</v>
      </c>
      <c r="H94" s="27">
        <v>26.5137</v>
      </c>
      <c r="I94" s="27">
        <v>27.521699999999999</v>
      </c>
      <c r="J94" s="27">
        <v>27.4069</v>
      </c>
      <c r="K94" s="27">
        <v>27.419499999999999</v>
      </c>
      <c r="L94" s="27">
        <f t="shared" si="6"/>
        <v>27.294033333333331</v>
      </c>
      <c r="M94" s="27">
        <f t="shared" si="7"/>
        <v>27.191933333333335</v>
      </c>
      <c r="N94" s="27">
        <f t="shared" si="8"/>
        <v>27.117566666666665</v>
      </c>
    </row>
    <row r="95" spans="2:14" x14ac:dyDescent="0.3">
      <c r="B95" s="1" t="s">
        <v>54</v>
      </c>
      <c r="C95" s="27">
        <v>27.3294</v>
      </c>
      <c r="D95" s="27">
        <v>27.060500000000001</v>
      </c>
      <c r="E95" s="27">
        <v>27.412400000000002</v>
      </c>
      <c r="F95" s="27">
        <v>27.6784</v>
      </c>
      <c r="G95" s="27">
        <v>27.1953</v>
      </c>
      <c r="H95" s="27">
        <v>27.222799999999999</v>
      </c>
      <c r="I95" s="27">
        <v>27.3294</v>
      </c>
      <c r="J95" s="27">
        <v>27.060500000000001</v>
      </c>
      <c r="K95" s="27">
        <v>27.412400000000002</v>
      </c>
      <c r="L95" s="27">
        <f t="shared" si="6"/>
        <v>27.445733333333333</v>
      </c>
      <c r="M95" s="27">
        <f t="shared" si="7"/>
        <v>27.105433333333334</v>
      </c>
      <c r="N95" s="27">
        <f t="shared" si="8"/>
        <v>27.3492</v>
      </c>
    </row>
    <row r="96" spans="2:14" x14ac:dyDescent="0.3">
      <c r="B96" s="1" t="s">
        <v>12</v>
      </c>
      <c r="C96" s="27">
        <v>27.1784</v>
      </c>
      <c r="D96" s="27">
        <v>26.737100000000002</v>
      </c>
      <c r="E96" s="27">
        <v>27.2349</v>
      </c>
      <c r="F96" s="27">
        <v>26.967099999999999</v>
      </c>
      <c r="G96" s="27">
        <v>26.819099999999999</v>
      </c>
      <c r="H96" s="27">
        <v>26.421199999999999</v>
      </c>
      <c r="I96" s="27">
        <v>27.1784</v>
      </c>
      <c r="J96" s="27">
        <v>26.737100000000002</v>
      </c>
      <c r="K96" s="27">
        <v>27.2349</v>
      </c>
      <c r="L96" s="27">
        <f t="shared" si="6"/>
        <v>27.107966666666666</v>
      </c>
      <c r="M96" s="27">
        <f t="shared" si="7"/>
        <v>26.764433333333333</v>
      </c>
      <c r="N96" s="27">
        <f t="shared" si="8"/>
        <v>26.963666666666665</v>
      </c>
    </row>
    <row r="97" spans="2:14" x14ac:dyDescent="0.3">
      <c r="B97" s="1" t="s">
        <v>13</v>
      </c>
      <c r="C97" s="27">
        <v>25.53</v>
      </c>
      <c r="D97" s="27">
        <v>24.782499999999999</v>
      </c>
      <c r="E97" s="27">
        <v>24.4861</v>
      </c>
      <c r="F97" s="27">
        <v>24.4313</v>
      </c>
      <c r="G97" s="27">
        <v>23.930700000000002</v>
      </c>
      <c r="H97" s="27">
        <v>23.3797</v>
      </c>
      <c r="I97" s="27">
        <v>25.53</v>
      </c>
      <c r="J97" s="27">
        <v>24.782499999999999</v>
      </c>
      <c r="K97" s="27">
        <v>24.4861</v>
      </c>
      <c r="L97" s="27">
        <f t="shared" si="6"/>
        <v>25.163766666666664</v>
      </c>
      <c r="M97" s="27">
        <f t="shared" si="7"/>
        <v>24.498566666666665</v>
      </c>
      <c r="N97" s="27">
        <f t="shared" si="8"/>
        <v>24.1173</v>
      </c>
    </row>
    <row r="98" spans="2:14" x14ac:dyDescent="0.3">
      <c r="B98" s="1" t="s">
        <v>14</v>
      </c>
      <c r="C98" s="27">
        <v>20.284500000000001</v>
      </c>
      <c r="D98" s="27">
        <v>18.352599999999999</v>
      </c>
      <c r="E98" s="27">
        <v>17.6784</v>
      </c>
      <c r="F98" s="27">
        <v>18.091000000000001</v>
      </c>
      <c r="G98" s="27">
        <v>17.002800000000001</v>
      </c>
      <c r="H98" s="27">
        <v>16.2258</v>
      </c>
      <c r="I98" s="27">
        <v>20.284500000000001</v>
      </c>
      <c r="J98" s="27">
        <v>18.352599999999999</v>
      </c>
      <c r="K98" s="27">
        <v>17.6784</v>
      </c>
      <c r="L98" s="27">
        <f t="shared" si="6"/>
        <v>19.553333333333335</v>
      </c>
      <c r="M98" s="27">
        <f t="shared" si="7"/>
        <v>17.902666666666665</v>
      </c>
      <c r="N98" s="27">
        <f t="shared" si="8"/>
        <v>17.194199999999999</v>
      </c>
    </row>
    <row r="99" spans="2:14" x14ac:dyDescent="0.3">
      <c r="B99" s="1" t="s">
        <v>15</v>
      </c>
      <c r="C99" s="27">
        <v>13.9597</v>
      </c>
      <c r="D99" s="27">
        <v>12.581300000000001</v>
      </c>
      <c r="E99" s="27">
        <v>12.6067</v>
      </c>
      <c r="F99" s="27">
        <v>10.9733</v>
      </c>
      <c r="G99" s="27">
        <v>12.427199999999999</v>
      </c>
      <c r="H99" s="27">
        <v>13.0116</v>
      </c>
      <c r="I99" s="27">
        <v>13.9597</v>
      </c>
      <c r="J99" s="27">
        <v>12.581300000000001</v>
      </c>
      <c r="K99" s="27">
        <v>12.6067</v>
      </c>
      <c r="L99" s="27">
        <f t="shared" si="6"/>
        <v>12.964233333333333</v>
      </c>
      <c r="M99" s="27">
        <f t="shared" si="7"/>
        <v>12.529933333333332</v>
      </c>
      <c r="N99" s="27">
        <f t="shared" si="8"/>
        <v>12.741666666666665</v>
      </c>
    </row>
    <row r="100" spans="2:14" x14ac:dyDescent="0.3">
      <c r="B100" s="1" t="s">
        <v>16</v>
      </c>
      <c r="C100" s="27">
        <v>9.17774</v>
      </c>
      <c r="D100" s="27">
        <v>8.2400400000000005</v>
      </c>
      <c r="E100" s="27">
        <v>8.4899400000000007</v>
      </c>
      <c r="F100" s="27">
        <v>5.91</v>
      </c>
      <c r="G100" s="27">
        <v>6.1480199999999998</v>
      </c>
      <c r="H100" s="27">
        <v>6.5591900000000001</v>
      </c>
      <c r="I100" s="27">
        <v>9.17774</v>
      </c>
      <c r="J100" s="27">
        <v>8.2400400000000005</v>
      </c>
      <c r="K100" s="27">
        <v>8.4899400000000007</v>
      </c>
      <c r="L100" s="27">
        <f t="shared" si="6"/>
        <v>8.088493333333334</v>
      </c>
      <c r="M100" s="27">
        <f t="shared" si="7"/>
        <v>7.5427</v>
      </c>
      <c r="N100" s="27">
        <f t="shared" si="8"/>
        <v>7.8463566666666678</v>
      </c>
    </row>
    <row r="117" spans="2:32" ht="29.25" customHeight="1" x14ac:dyDescent="0.3">
      <c r="B117" s="33" t="s">
        <v>89</v>
      </c>
      <c r="C117" s="33"/>
      <c r="D117" s="33"/>
      <c r="E117" s="33"/>
      <c r="F117" s="33"/>
      <c r="G117" s="33"/>
      <c r="H117" s="33"/>
      <c r="I117" s="33"/>
      <c r="J117" s="33"/>
      <c r="K117" s="33"/>
    </row>
    <row r="118" spans="2:32" ht="15" customHeight="1" x14ac:dyDescent="0.3">
      <c r="B118" s="6"/>
      <c r="C118" s="33" t="s">
        <v>79</v>
      </c>
      <c r="D118" s="33"/>
      <c r="E118" s="33"/>
      <c r="F118" s="33" t="s">
        <v>91</v>
      </c>
      <c r="G118" s="33"/>
      <c r="H118" s="33"/>
      <c r="I118" s="33" t="s">
        <v>90</v>
      </c>
      <c r="J118" s="33"/>
      <c r="K118" s="33"/>
    </row>
    <row r="119" spans="2:32" ht="28.8" x14ac:dyDescent="0.3">
      <c r="B119" s="1"/>
      <c r="C119" s="2" t="s">
        <v>92</v>
      </c>
      <c r="D119" s="2" t="s">
        <v>93</v>
      </c>
      <c r="E119" s="2" t="s">
        <v>94</v>
      </c>
      <c r="F119" s="2" t="s">
        <v>95</v>
      </c>
      <c r="G119" s="2" t="s">
        <v>96</v>
      </c>
      <c r="H119" s="2" t="s">
        <v>97</v>
      </c>
      <c r="I119" s="2" t="s">
        <v>98</v>
      </c>
      <c r="J119" s="2" t="s">
        <v>99</v>
      </c>
      <c r="K119" s="2" t="s">
        <v>100</v>
      </c>
    </row>
    <row r="120" spans="2:32" x14ac:dyDescent="0.3">
      <c r="B120" s="1" t="s">
        <v>5</v>
      </c>
      <c r="C120" s="1">
        <v>16.39</v>
      </c>
      <c r="D120" s="1">
        <v>31.371400000000005</v>
      </c>
      <c r="E120" s="10">
        <v>25.203133333333341</v>
      </c>
      <c r="F120" s="10">
        <v>18.688421863799274</v>
      </c>
      <c r="G120" s="10">
        <v>19.186885215053763</v>
      </c>
      <c r="H120" s="10">
        <v>19.664592795698923</v>
      </c>
      <c r="I120" s="9">
        <v>6.8436533333333331</v>
      </c>
      <c r="J120" s="9">
        <v>6.4890633333333341</v>
      </c>
      <c r="K120" s="9">
        <v>7.3543533333333331</v>
      </c>
    </row>
    <row r="121" spans="2:32" x14ac:dyDescent="0.3">
      <c r="B121" s="1" t="s">
        <v>6</v>
      </c>
      <c r="C121" s="1">
        <v>25.679999999999996</v>
      </c>
      <c r="D121" s="1">
        <v>38.325600000000001</v>
      </c>
      <c r="E121" s="10">
        <v>67.162533333333343</v>
      </c>
      <c r="F121" s="10">
        <v>22.62483564978406</v>
      </c>
      <c r="G121" s="10">
        <v>22.224180367659432</v>
      </c>
      <c r="H121" s="10">
        <v>22.373933556284701</v>
      </c>
      <c r="I121" s="9">
        <v>9.8339366666666663</v>
      </c>
      <c r="J121" s="9">
        <v>9.1778633333333346</v>
      </c>
      <c r="K121" s="9">
        <v>9.0962733333333343</v>
      </c>
    </row>
    <row r="122" spans="2:32" x14ac:dyDescent="0.3">
      <c r="B122" s="1" t="s">
        <v>51</v>
      </c>
      <c r="C122" s="1">
        <v>25.774000000000001</v>
      </c>
      <c r="D122" s="1">
        <v>37.61249999999999</v>
      </c>
      <c r="E122" s="10">
        <v>38.584733333333325</v>
      </c>
      <c r="F122" s="10">
        <v>27.988314336917558</v>
      </c>
      <c r="G122" s="10">
        <v>27.152544498207877</v>
      </c>
      <c r="H122" s="10">
        <v>26.811989784946238</v>
      </c>
      <c r="I122" s="9">
        <v>15.124633333333335</v>
      </c>
      <c r="J122" s="9">
        <v>13.748833333333332</v>
      </c>
      <c r="K122" s="9">
        <v>13.144533333333333</v>
      </c>
    </row>
    <row r="123" spans="2:32" x14ac:dyDescent="0.3">
      <c r="B123" s="1" t="s">
        <v>52</v>
      </c>
      <c r="C123" s="1">
        <v>19.7</v>
      </c>
      <c r="D123" s="1">
        <v>37.02923333333333</v>
      </c>
      <c r="E123" s="10">
        <v>43.664133333333325</v>
      </c>
      <c r="F123" s="10">
        <v>35.045666666666669</v>
      </c>
      <c r="G123" s="10">
        <v>33.552795629629621</v>
      </c>
      <c r="H123" s="10">
        <v>32.827886870370378</v>
      </c>
      <c r="I123" s="9">
        <v>20.812566666666669</v>
      </c>
      <c r="J123" s="9">
        <v>18.845766666666666</v>
      </c>
      <c r="K123" s="9">
        <v>18.408266666666666</v>
      </c>
    </row>
    <row r="124" spans="2:32" x14ac:dyDescent="0.3">
      <c r="B124" s="1" t="s">
        <v>9</v>
      </c>
      <c r="C124" s="1">
        <v>20.47</v>
      </c>
      <c r="D124" s="24">
        <v>12.944999999999999</v>
      </c>
      <c r="E124" s="10">
        <v>29.533066666666667</v>
      </c>
      <c r="F124" s="10">
        <v>39.051326164874553</v>
      </c>
      <c r="G124" s="10">
        <v>39.600084086021504</v>
      </c>
      <c r="H124" s="10">
        <v>39.687109426523286</v>
      </c>
      <c r="I124" s="9">
        <v>25.189066666666665</v>
      </c>
      <c r="J124" s="9">
        <v>24.0183</v>
      </c>
      <c r="K124" s="9">
        <v>24.29976666666667</v>
      </c>
    </row>
    <row r="125" spans="2:32" x14ac:dyDescent="0.3">
      <c r="B125" s="1" t="s">
        <v>53</v>
      </c>
      <c r="C125" s="1">
        <v>68.850000000000009</v>
      </c>
      <c r="D125" s="24">
        <v>51.025799999999997</v>
      </c>
      <c r="E125" s="14">
        <v>41.298366666666659</v>
      </c>
      <c r="F125" s="10">
        <v>39.290159259259262</v>
      </c>
      <c r="G125" s="10">
        <v>41.572628018518515</v>
      </c>
      <c r="H125" s="10">
        <v>41.239789814814827</v>
      </c>
      <c r="I125" s="9">
        <v>27.294033333333331</v>
      </c>
      <c r="J125" s="9">
        <v>27.191933333333335</v>
      </c>
      <c r="K125" s="9">
        <v>27.117566666666665</v>
      </c>
    </row>
    <row r="126" spans="2:32" x14ac:dyDescent="0.3">
      <c r="B126" s="1" t="s">
        <v>54</v>
      </c>
      <c r="C126" s="1">
        <v>147.93</v>
      </c>
      <c r="D126" s="1">
        <v>164.01363333333333</v>
      </c>
      <c r="E126" s="10">
        <v>134.90763333333334</v>
      </c>
      <c r="F126" s="10">
        <v>36.563235483870976</v>
      </c>
      <c r="G126" s="10">
        <v>36.963893189964153</v>
      </c>
      <c r="H126" s="10">
        <v>36.666344659498208</v>
      </c>
      <c r="I126" s="9">
        <v>27.445733333333333</v>
      </c>
      <c r="J126" s="9">
        <v>27.105433333333334</v>
      </c>
      <c r="K126" s="9">
        <v>27.3492</v>
      </c>
    </row>
    <row r="127" spans="2:32" x14ac:dyDescent="0.3">
      <c r="B127" s="1" t="s">
        <v>12</v>
      </c>
      <c r="C127" s="1">
        <v>120.15999999999998</v>
      </c>
      <c r="D127" s="1">
        <v>161.7799666666667</v>
      </c>
      <c r="E127" s="10">
        <v>108.20526666666666</v>
      </c>
      <c r="F127" s="10">
        <v>36.138040501792119</v>
      </c>
      <c r="G127" s="10">
        <v>36.062497275985663</v>
      </c>
      <c r="H127" s="10">
        <v>36.027024784946235</v>
      </c>
      <c r="I127" s="9">
        <v>27.107966666666666</v>
      </c>
      <c r="J127" s="9">
        <v>26.764433333333333</v>
      </c>
      <c r="K127" s="9">
        <v>26.963666666666665</v>
      </c>
    </row>
    <row r="128" spans="2:32" x14ac:dyDescent="0.3">
      <c r="B128" s="1" t="s">
        <v>13</v>
      </c>
      <c r="C128" s="1">
        <v>43.886666666666663</v>
      </c>
      <c r="D128" s="1">
        <v>59.150500000000015</v>
      </c>
      <c r="E128" s="10">
        <v>41.867799999999995</v>
      </c>
      <c r="F128" s="10">
        <v>35.532333333333334</v>
      </c>
      <c r="G128" s="10">
        <v>35.245525185185187</v>
      </c>
      <c r="H128" s="10">
        <v>35.303723129629631</v>
      </c>
      <c r="I128" s="9">
        <v>25.163766666666664</v>
      </c>
      <c r="J128" s="9">
        <v>24.498566666666665</v>
      </c>
      <c r="K128" s="9">
        <v>24.1173</v>
      </c>
      <c r="AF128" s="29"/>
    </row>
    <row r="129" spans="2:34" x14ac:dyDescent="0.3">
      <c r="B129" s="1" t="s">
        <v>14</v>
      </c>
      <c r="C129" s="1">
        <v>10.83</v>
      </c>
      <c r="D129" s="24">
        <v>6.708333333333333</v>
      </c>
      <c r="E129" s="14">
        <v>5.7282666666666664</v>
      </c>
      <c r="F129" s="10">
        <v>32.536258422939056</v>
      </c>
      <c r="G129" s="10">
        <v>31.845528118279578</v>
      </c>
      <c r="H129" s="10">
        <v>33.237406756272399</v>
      </c>
      <c r="I129" s="9">
        <v>19.553333333333335</v>
      </c>
      <c r="J129" s="9">
        <v>17.902666666666665</v>
      </c>
      <c r="K129" s="9">
        <v>17.194199999999999</v>
      </c>
    </row>
    <row r="130" spans="2:34" x14ac:dyDescent="0.3">
      <c r="B130" s="1" t="s">
        <v>15</v>
      </c>
      <c r="C130" s="1">
        <v>5.8566666666666665</v>
      </c>
      <c r="D130" s="1">
        <v>5.6775333333333329</v>
      </c>
      <c r="E130" s="10">
        <v>19.208166666666667</v>
      </c>
      <c r="F130" s="10">
        <v>26.813196296296294</v>
      </c>
      <c r="G130" s="10">
        <v>27.483591500000003</v>
      </c>
      <c r="H130" s="10">
        <v>28.064474888888881</v>
      </c>
      <c r="I130" s="9">
        <v>12.964233333333333</v>
      </c>
      <c r="J130" s="9">
        <v>12.529933333333332</v>
      </c>
      <c r="K130" s="9">
        <v>12.741666666666665</v>
      </c>
    </row>
    <row r="131" spans="2:34" x14ac:dyDescent="0.3">
      <c r="B131" s="1" t="s">
        <v>16</v>
      </c>
      <c r="C131" s="1">
        <v>8.2133333333333329</v>
      </c>
      <c r="D131" s="1">
        <v>14.682333333333332</v>
      </c>
      <c r="E131" s="10">
        <v>20.363066666666665</v>
      </c>
      <c r="F131" s="10">
        <v>21.388266666666663</v>
      </c>
      <c r="G131" s="10">
        <v>22.340510138754027</v>
      </c>
      <c r="H131" s="10">
        <v>22.356081915225172</v>
      </c>
      <c r="I131" s="9">
        <v>8.088493333333334</v>
      </c>
      <c r="J131" s="9">
        <v>7.5427</v>
      </c>
      <c r="K131" s="9">
        <v>7.8463566666666678</v>
      </c>
    </row>
    <row r="133" spans="2:34" x14ac:dyDescent="0.3">
      <c r="AH133" s="29"/>
    </row>
    <row r="143" spans="2:34" x14ac:dyDescent="0.3">
      <c r="L143" s="28"/>
    </row>
  </sheetData>
  <mergeCells count="19">
    <mergeCell ref="I118:K118"/>
    <mergeCell ref="C118:E118"/>
    <mergeCell ref="F118:H118"/>
    <mergeCell ref="C86:N86"/>
    <mergeCell ref="C87:E87"/>
    <mergeCell ref="F87:H87"/>
    <mergeCell ref="I87:K87"/>
    <mergeCell ref="L87:N87"/>
    <mergeCell ref="B117:K117"/>
    <mergeCell ref="C47:E47"/>
    <mergeCell ref="F47:H47"/>
    <mergeCell ref="I47:K47"/>
    <mergeCell ref="L47:N47"/>
    <mergeCell ref="C4:N4"/>
    <mergeCell ref="C5:E5"/>
    <mergeCell ref="F5:H5"/>
    <mergeCell ref="I5:K5"/>
    <mergeCell ref="L5:N5"/>
    <mergeCell ref="C46:N4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topLeftCell="A22" zoomScale="96" zoomScaleNormal="96" workbookViewId="0">
      <selection activeCell="S45" sqref="S4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GCM Selection</vt:lpstr>
      <vt:lpstr>GCM Cal.</vt:lpstr>
      <vt:lpstr>Graph Cal</vt:lpstr>
      <vt:lpstr>GCM Val.</vt:lpstr>
      <vt:lpstr>Graph Val.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2026-07-27T07:58:45Z</dcterms:modified>
</cp:coreProperties>
</file>